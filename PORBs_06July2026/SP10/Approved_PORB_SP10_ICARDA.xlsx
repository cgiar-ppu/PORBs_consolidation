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HLO" sheetId="2" r:id="rId2"/>
    <sheet name="Partners" sheetId="3" r:id="rId3"/>
    <sheet name="W3-Bilateral" sheetId="4" r:id="rId4"/>
    <sheet name="MELIA" sheetId="5" r:id="rId5"/>
    <sheet name="Cross Cutting" sheetId="6" r:id="rId6"/>
    <sheet name="Anaplan" sheetId="7" r:id="rId7"/>
    <sheet name="Countries of Implementation" sheetId="8" r:id="rId8"/>
    <sheet name="Location of Benefit" sheetId="9" r:id="rId9"/>
    <sheet name="Synergy Programs" sheetId="10" r:id="rId10"/>
    <sheet name="Outcomes" sheetId="11" r:id="rId1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7" x14ac:knownFonts="1">
    <font>
      <sz val="11"/>
      <name val="Calibri"/>
    </font>
    <font>
      <sz val="11"/>
      <name val="Calibri"/>
    </font>
    <font>
      <sz val="11"/>
      <name val="Calibri"/>
      <b/>
      <color rgb="FFFFFF"/>
    </font>
    <font>
      <sz val="11"/>
      <name val="Calibri"/>
      <b/>
      <color rgb="FFFFFF"/>
    </font>
    <font>
      <sz val="11"/>
      <name val="Calibri"/>
      <b/>
      <color rgb="FFFFFF"/>
    </font>
    <font>
      <sz val="11"/>
      <name val="Calibri"/>
      <b/>
      <color rgb="FFFFFF"/>
    </font>
    <font>
      <sz val="11"/>
      <name val="Calibri"/>
      <b/>
      <color rgb="000000"/>
    </font>
  </fonts>
  <fills count="7">
    <fill>
      <patternFill patternType="none">
        <bgColor/>
      </patternFill>
    </fill>
    <fill>
      <patternFill patternType="gray125">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2B3C53"/>
        <bgColor/>
      </patternFill>
    </fill>
    <fill>
      <patternFill patternType="solid">
        <fgColor rgb="FFE6E6E6"/>
        <bgColor/>
      </patternFill>
    </fill>
  </fills>
  <borders count="7">
    <border>
      <left/>
      <right/>
      <top/>
      <bottom/>
      <diagonal/>
    </border>
    <border>
      <left/>
      <right/>
      <top/>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
      <left style="thin">
        <color rgb="000000"/>
      </left>
      <right style="thin">
        <color rgb="000000"/>
      </right>
      <top style="thin">
        <color rgb="000000"/>
      </top>
      <bottom style="thin">
        <color rgb="000000"/>
      </bottom>
      <diagonal/>
    </border>
  </borders>
  <cellStyleXfs>
    <xf numFmtId="0" fontId="0" fillId="0" borderId="0"/>
  </cellStyleXfs>
  <cellXfs count="10">
    <xf numFmtId="0" fontId="0" fillId="0" borderId="0" xfId="0"/>
    <xf numFmtId="0" fontId="1" fillId="1" borderId="1" xfId="0" applyFont="1" applyFill="1" applyBorder="1"/>
    <xf numFmtId="0" fontId="0" fillId="0" borderId="0" xfId="0"/>
    <xf numFmtId="0" fontId="2" fillId="2" borderId="2" xfId="0" applyFont="1" applyFill="1" applyBorder="1" applyAlignment="1">
      <alignment horizontal="center" vertical="center" wrapText="true"/>
    </xf>
    <xf numFmtId="0" fontId="0" fillId="0" borderId="3" xfId="0" applyBorder="1" applyAlignment="1">
      <alignment horizontal="center" vertical="center" wrapText="true"/>
    </xf>
    <xf numFmtId="3" fontId="0" fillId="0" borderId="4" xfId="0" applyBorder="1" applyNumberFormat="1" applyAlignment="1">
      <alignment horizontal="center" vertical="center" wrapText="true"/>
    </xf>
    <xf numFmtId="0" fontId="3" fillId="3" borderId="0" xfId="0" applyFont="1" applyFill="1" applyAlignment="1">
      <alignment horizontal="center" vertical="center"/>
    </xf>
    <xf numFmtId="3" fontId="4" fillId="4" borderId="0" xfId="0" applyFont="1" applyFill="1" applyNumberFormat="1" applyAlignment="1">
      <alignment horizontal="center" vertical="center"/>
    </xf>
    <xf numFmtId="0" fontId="5" fillId="5" borderId="5" xfId="0" applyFont="1" applyFill="1" applyBorder="1" applyAlignment="1">
      <alignment horizontal="center" vertical="center"/>
    </xf>
    <xf numFmtId="0" fontId="6" fillId="6" borderId="6" xfId="0" applyFont="1" applyFill="1" applyBorder="1" applyAlignment="1">
      <alignment horizontal="center" vertical="center"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8"/>
  <sheetViews>
    <sheetView workbookViewId="0"/>
  </sheetViews>
  <cols>
    <col min="1" max="1" width="30.83203125" customWidth="1"/>
    <col min="2" max="2" width="12.83203125" customWidth="1"/>
    <col min="3" max="3" width="15.83203125" customWidth="1"/>
    <col min="4" max="4" width="12.83203125" customWidth="1"/>
    <col min="5" max="5" width="15.83203125" customWidth="1"/>
    <col min="6" max="6" width="12.83203125" customWidth="1"/>
    <col min="7" max="7" width="15.83203125" customWidth="1"/>
    <col min="8" max="8" width="12.83203125" customWidth="1"/>
    <col min="9" max="9" width="15.83203125" customWidth="1"/>
    <col min="10" max="10" width="35.83203125" customWidth="1"/>
    <col min="11" max="11" width="20.83203125" customWidth="1"/>
    <col min="12" max="12" width="25.83203125" customWidth="1"/>
    <col min="13" max="13" width="25.83203125" customWidth="1"/>
    <col min="14" max="14" width="10.83203125" customWidth="1" hidden="true"/>
  </cols>
  <sheetData>
    <row r="1" ht="15" customHeight="1">
      <c r="A1" s="3" t="str">
        <v>Area of Work</v>
      </c>
      <c r="B1" s="3" t="str">
        <v>Pooled Funding</v>
      </c>
      <c r="K1" s="3" t="str">
        <v>Additional Information</v>
      </c>
      <c r="N1" s="3" t="str">
        <v>aow_id</v>
      </c>
    </row>
    <row r="2" ht="15" customHeight="1">
      <c r="B2" s="3" t="str">
        <v>Innovation Development</v>
      </c>
      <c r="D2" s="3" t="str">
        <v>Knowledge product</v>
      </c>
      <c r="F2" s="3" t="str">
        <v>Capacity Sharing</v>
      </c>
      <c r="H2" s="3" t="str">
        <v>Others outputs</v>
      </c>
      <c r="J2" s="3" t="str">
        <v>Total Pooled Funding budget (USD)</v>
      </c>
      <c r="K2" s="3" t="str">
        <v>Anaplan budget</v>
      </c>
      <c r="L2" s="3" t="str">
        <v>Partner budget</v>
      </c>
      <c r="M2" s="3" t="str">
        <v>MELIA Studies budget</v>
      </c>
    </row>
    <row r="3" ht="15" customHeight="1">
      <c r="B3" s="3" t="str">
        <v>Target</v>
      </c>
      <c r="C3" s="3" t="str">
        <v>Budget</v>
      </c>
      <c r="D3" s="3" t="str">
        <v>Target</v>
      </c>
      <c r="E3" s="3" t="str">
        <v>Budget</v>
      </c>
      <c r="F3" s="3" t="str">
        <v>Target</v>
      </c>
      <c r="G3" s="3" t="str">
        <v>Budget</v>
      </c>
      <c r="H3" s="3" t="str">
        <v>Target</v>
      </c>
      <c r="I3" s="3" t="str">
        <v>Budget</v>
      </c>
    </row>
    <row r="4" ht="20" customHeight="1">
      <c r="A4" s="4" t="str">
        <v>AOW00: Cross Cutting</v>
      </c>
      <c r="B4" s="5">
        <v>0</v>
      </c>
      <c r="C4" s="5">
        <v>0</v>
      </c>
      <c r="D4" s="5">
        <v>0</v>
      </c>
      <c r="E4" s="5">
        <v>0</v>
      </c>
      <c r="F4" s="5">
        <v>0</v>
      </c>
      <c r="G4" s="5">
        <v>0</v>
      </c>
      <c r="H4" s="5">
        <v>0</v>
      </c>
      <c r="I4" s="5">
        <v>0</v>
      </c>
      <c r="J4" s="5">
        <v>0</v>
      </c>
      <c r="K4" s="5">
        <v>0</v>
      </c>
      <c r="L4" s="5">
        <v>0</v>
      </c>
      <c r="M4" s="5">
        <v>0</v>
      </c>
      <c r="N4" s="4">
        <v>210</v>
      </c>
    </row>
    <row r="5" ht="20" customHeight="1">
      <c r="A5" s="4" t="str">
        <v>AOW01: Accelerating Solutions for Impact</v>
      </c>
      <c r="B5" s="5">
        <v>0</v>
      </c>
      <c r="C5" s="5">
        <v>0</v>
      </c>
      <c r="D5" s="5">
        <v>8</v>
      </c>
      <c r="E5" s="5">
        <v>258500</v>
      </c>
      <c r="F5" s="5">
        <v>0</v>
      </c>
      <c r="G5" s="5">
        <v>0</v>
      </c>
      <c r="H5" s="5">
        <v>0</v>
      </c>
      <c r="I5" s="5">
        <v>0</v>
      </c>
      <c r="J5" s="5">
        <v>258500</v>
      </c>
      <c r="K5" s="5">
        <v>258500</v>
      </c>
      <c r="L5" s="5">
        <v>60000</v>
      </c>
      <c r="M5" s="5">
        <v>0</v>
      </c>
      <c r="N5" s="4">
        <v>209</v>
      </c>
    </row>
    <row r="6" ht="20" customHeight="1">
      <c r="A6" s="4" t="str">
        <v>AOW02: Accelerating Change Through Evidence</v>
      </c>
      <c r="B6" s="5">
        <v>0</v>
      </c>
      <c r="C6" s="5">
        <v>0</v>
      </c>
      <c r="D6" s="5">
        <v>1</v>
      </c>
      <c r="E6" s="5">
        <v>25000</v>
      </c>
      <c r="F6" s="5">
        <v>30</v>
      </c>
      <c r="G6" s="5">
        <v>35000</v>
      </c>
      <c r="H6" s="5">
        <v>0</v>
      </c>
      <c r="I6" s="5">
        <v>0</v>
      </c>
      <c r="J6" s="5">
        <v>60000</v>
      </c>
      <c r="K6" s="5">
        <v>60000</v>
      </c>
      <c r="L6" s="5">
        <v>0</v>
      </c>
      <c r="M6" s="5">
        <v>0</v>
      </c>
      <c r="N6" s="4">
        <v>208</v>
      </c>
    </row>
    <row r="7" ht="20" customHeight="1">
      <c r="A7" s="4" t="str">
        <v>AOW03: Youth Thrive</v>
      </c>
      <c r="B7" s="5">
        <v>0</v>
      </c>
      <c r="C7" s="5">
        <v>0</v>
      </c>
      <c r="D7" s="5">
        <v>2</v>
      </c>
      <c r="E7" s="5">
        <v>130000</v>
      </c>
      <c r="F7" s="5">
        <v>0</v>
      </c>
      <c r="G7" s="5">
        <v>0</v>
      </c>
      <c r="H7" s="5">
        <v>0</v>
      </c>
      <c r="I7" s="5">
        <v>0</v>
      </c>
      <c r="J7" s="5">
        <v>130000</v>
      </c>
      <c r="K7" s="5">
        <v>130000</v>
      </c>
      <c r="L7" s="5">
        <v>33000</v>
      </c>
      <c r="M7" s="5">
        <v>0</v>
      </c>
      <c r="N7" s="4">
        <v>207</v>
      </c>
    </row>
    <row r="8" ht="25" customHeight="1">
      <c r="A8" s="6" t="str">
        <v>Total</v>
      </c>
      <c r="B8" s="7" t="str">
        <v/>
      </c>
      <c r="C8" s="7">
        <v>0</v>
      </c>
      <c r="D8" s="7" t="str">
        <v/>
      </c>
      <c r="E8" s="7">
        <v>413500</v>
      </c>
      <c r="F8" s="7" t="str">
        <v/>
      </c>
      <c r="G8" s="7">
        <v>35000</v>
      </c>
      <c r="H8" s="7" t="str">
        <v/>
      </c>
      <c r="I8" s="7">
        <v>0</v>
      </c>
      <c r="J8" s="7">
        <v>448500</v>
      </c>
      <c r="K8" s="7">
        <v>448500</v>
      </c>
      <c r="L8" s="7">
        <v>93000</v>
      </c>
      <c r="M8" s="7">
        <v>0</v>
      </c>
      <c r="N8" s="6" t="str">
        <v/>
      </c>
    </row>
  </sheetData>
  <mergeCells count="11">
    <mergeCell ref="A1:A3"/>
    <mergeCell ref="B1:J1"/>
    <mergeCell ref="K1:M1"/>
    <mergeCell ref="B2:C2"/>
    <mergeCell ref="D2:E2"/>
    <mergeCell ref="F2:G2"/>
    <mergeCell ref="H2:I2"/>
    <mergeCell ref="J2:J3"/>
    <mergeCell ref="K2:K3"/>
    <mergeCell ref="L2:L3"/>
    <mergeCell ref="M2:M3"/>
  </mergeCells>
  <ignoredErrors>
    <ignoredError numberStoredAsText="1" sqref="A1:N8"/>
  </ignoredErrors>
</worksheet>
</file>

<file path=xl/worksheets/sheet2.xml><?xml version="1.0" encoding="utf-8"?>
<worksheet xmlns="http://schemas.openxmlformats.org/spreadsheetml/2006/main" xmlns:r="http://schemas.openxmlformats.org/officeDocument/2006/relationships">
  <dimension ref="A1:J13"/>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30.83203125" customWidth="1"/>
    <col min="7" max="7" width="10.83203125" customWidth="1"/>
    <col min="8" max="8" width="15.83203125" customWidth="1"/>
    <col min="9" max="9" width="30.83203125" customWidth="1"/>
    <col min="10" max="10" width="10.83203125" customWidth="1" hidden="true"/>
  </cols>
  <sheetData>
    <row r="1" ht="30" customHeight="1">
      <c r="A1" s="8" t="str">
        <v>AOW</v>
      </c>
      <c r="B1" s="3" t="str">
        <v>Center</v>
      </c>
      <c r="C1" s="3" t="str">
        <v>High Level Output</v>
      </c>
      <c r="D1" s="3" t="str">
        <v>Key Performance Indicators</v>
      </c>
      <c r="I1" s="3" t="str">
        <v>Assumption</v>
      </c>
      <c r="J1" s="3" t="str">
        <v>id</v>
      </c>
    </row>
    <row r="2" ht="30" customHeight="1">
      <c r="D2" s="3" t="str">
        <v>Description</v>
      </c>
      <c r="E2" s="3" t="str">
        <v>Type</v>
      </c>
      <c r="F2" s="3" t="str">
        <v>Country(ies) of implementation</v>
      </c>
      <c r="G2" s="3" t="str">
        <v>Target</v>
      </c>
      <c r="H2" s="3" t="str">
        <v>Budget (USD)</v>
      </c>
    </row>
    <row r="3" ht="50" customHeight="1" xml:space="preserve">
      <c r="A3" s="8" t="str">
        <v>AOW01: Accelerating Solutions for Impact</v>
      </c>
      <c r="B3" s="4" t="str">
        <v>ICARDA</v>
      </c>
      <c r="C3" s="4" t="str">
        <v xml:space="preserve">1.4.3: Solutions for inclusive leadership </v>
      </c>
      <c r="D3" s="4" t="str">
        <v>Scoping study and analysis of inclusion dynamics in women’s food processing groups, identifying successful models and mechanisms for integrating marginalized women, and producing evidence-based recommendations co-validated with policy actors to inform future interventions</v>
      </c>
      <c r="E3" s="4" t="str">
        <v>Number of knowledge products</v>
      </c>
      <c r="F3" s="4" t="str">
        <v>Morocco</v>
      </c>
      <c r="G3" s="5">
        <v>2</v>
      </c>
      <c r="H3" s="5">
        <v>90000</v>
      </c>
      <c r="I3" s="4" t="str" xml:space="preserve">
        <v xml:space="preserve">Staff time to study inclusion models and interview marginalized women and policy actors.
Operational budget for fieldwork, focus groups, and validation workshops in Morocco.
Staff time to write two knowledge products with evidence-based recommendations.</v>
      </c>
      <c r="J3" s="4">
        <v>6148</v>
      </c>
    </row>
    <row r="4" ht="50" customHeight="1" xml:space="preserve">
      <c r="B4" s="4" t="str">
        <v>ICARDA</v>
      </c>
      <c r="D4" s="4" t="str">
        <v>Published papers that present an assessment of the effects of capacity-strengthening initiatives on awareness and membership of agricultural cooperatives in Tunisia</v>
      </c>
      <c r="E4" s="4" t="str">
        <v>Number of knowledge products</v>
      </c>
      <c r="F4" s="4" t="str">
        <v>Tunisia</v>
      </c>
      <c r="G4" s="5">
        <v>2</v>
      </c>
      <c r="H4" s="5">
        <v>58500</v>
      </c>
      <c r="I4" s="4" t="str" xml:space="preserve">
        <v xml:space="preserve">Staff time to assess training impacts and analyze cooperative membership data in Tunisia.
Operational budget for surveys, data collection, and journal publication fees.
Staff time to write and publish two academic papers.</v>
      </c>
      <c r="J4" s="4">
        <v>6149</v>
      </c>
    </row>
    <row r="5" ht="50" customHeight="1" xml:space="preserve">
      <c r="B5" s="4" t="str">
        <v>ICARDA</v>
      </c>
      <c r="D5" s="4" t="str">
        <v>Scoping study on women’s leadership and digital transformation in agri-food cooperatives: evidence from Morocco, Tunisia, and Lebanon</v>
      </c>
      <c r="E5" s="4" t="str">
        <v>Number of knowledge products</v>
      </c>
      <c r="F5" s="4" t="str">
        <v>Tunisia, Lebanon, Morocco</v>
      </c>
      <c r="G5" s="5">
        <v>2</v>
      </c>
      <c r="H5" s="5">
        <v>55000</v>
      </c>
      <c r="I5" s="4" t="str" xml:space="preserve">
        <v xml:space="preserve">Staff time to research digital transformation and women's leadership across three countries.
Operational budget for travel, interviews, and cross-country coordination.
Staff time to produce two knowledge products synthesizing findings.</v>
      </c>
      <c r="J5" s="4">
        <v>6150</v>
      </c>
    </row>
    <row r="6" ht="50" customHeight="1" xml:space="preserve">
      <c r="B6" s="4" t="str">
        <v>ICARDA</v>
      </c>
      <c r="D6" s="4" t="str">
        <v>Scoping study of women's voice and leadership in food processing cooperatives in MENA</v>
      </c>
      <c r="E6" s="4" t="str">
        <v>Number of knowledge products</v>
      </c>
      <c r="F6" s="4" t="str">
        <v>Lebanon, Morocco, Tunisia</v>
      </c>
      <c r="G6" s="5">
        <v>2</v>
      </c>
      <c r="H6" s="5">
        <v>55000</v>
      </c>
      <c r="I6" s="4" t="str" xml:space="preserve">
        <v xml:space="preserve">Staff time to study women's voice and leadership dynamics in three MENA countries.
Operational budget for stakeholder meetings, translation, and data collection.
Staff time to write two knowledge products with practical recommendations.</v>
      </c>
      <c r="J6" s="4">
        <v>6151</v>
      </c>
    </row>
    <row r="7" ht="25" customHeight="1">
      <c r="C7" s="9" t="str">
        <v>HLO budget subtotal</v>
      </c>
      <c r="H7" s="9">
        <v>258500</v>
      </c>
      <c r="J7" s="9" t="str">
        <v/>
      </c>
    </row>
    <row r="8" ht="50" customHeight="1">
      <c r="A8" s="8" t="str">
        <v>AOW02: Accelerating Change Through Evidence</v>
      </c>
      <c r="B8" s="4" t="str">
        <v>ICARDA</v>
      </c>
      <c r="C8" s="4" t="str">
        <v>2.2.3: Co-design with Science Programs and Partners for integrating evidence-based solutions for equality, youth, resilience, and nutrition</v>
      </c>
      <c r="D8" s="4" t="str">
        <v>Center Needs Assessments and strategic roadmaps developed to identify institutional priorities, enabling conditions and opportunities for streamlining human-centered and inclusive digital product development</v>
      </c>
      <c r="E8" s="4" t="str">
        <v>Number of knowledge products</v>
      </c>
      <c r="F8" s="4" t="str">
        <v>United States of America, Kenya, Benin, Peru, Nepal, India, Egypt, Côte d'Ivoire, Malaysia, Germany, Philippines</v>
      </c>
      <c r="G8" s="5">
        <v>1</v>
      </c>
      <c r="H8" s="5">
        <v>25000</v>
      </c>
      <c r="I8" s="4" t="str">
        <v>This KPI and budget is for the Digital Transformation Accelerator from the Sweden W2 funding. GENDER only 'hosting' the budget but all responsibility for delivery and reporting is with DTA.</v>
      </c>
      <c r="J8" s="4">
        <v>8581</v>
      </c>
    </row>
    <row r="9" ht="50" customHeight="1">
      <c r="B9" s="4" t="str">
        <v>ICARDA</v>
      </c>
      <c r="D9" s="4" t="str">
        <v>Workshop at UM6P - Morocco to expose NARS and Universities from African Countries (5) and India, China and Brazil to UM6P Agri Tech Hub for Africa and Data Center for gender and youth employment</v>
      </c>
      <c r="E9" s="4" t="str">
        <v>Number of people trained (capacity sharing for development)</v>
      </c>
      <c r="F9" s="4" t="str">
        <v>Morocco</v>
      </c>
      <c r="G9" s="5">
        <v>30</v>
      </c>
      <c r="H9" s="5">
        <v>35000</v>
      </c>
      <c r="I9" s="4" t="str">
        <v>This KPI and budget is for the CapSha Accelerator from the Sweden W2 funding. GENDER only 'hosting' the budget but all responsibility for delivery and reporting is with CapSha.</v>
      </c>
      <c r="J9" s="4">
        <v>8592</v>
      </c>
    </row>
    <row r="10" ht="25" customHeight="1">
      <c r="C10" s="9" t="str">
        <v>HLO budget subtotal</v>
      </c>
      <c r="H10" s="9">
        <v>60000</v>
      </c>
      <c r="J10" s="9" t="str">
        <v/>
      </c>
    </row>
    <row r="11" ht="50" customHeight="1" xml:space="preserve">
      <c r="A11" s="8" t="str">
        <v>AOW03: Youth Thrive</v>
      </c>
      <c r="B11" s="4" t="str">
        <v>ICARDA</v>
      </c>
      <c r="C11" s="4" t="str">
        <v>3.1.3: Analysis of constraints and pathways for youth in FLWS</v>
      </c>
      <c r="D11" s="4" t="str">
        <v>Age- and gender-specific empowerment indicators defined based on the scoping study in the sheep fattening value chain and validated with youth and stakeholders</v>
      </c>
      <c r="E11" s="4" t="str">
        <v>Number of knowledge products</v>
      </c>
      <c r="F11" s="4" t="str">
        <v>Ethiopia</v>
      </c>
      <c r="G11" s="5">
        <v>1</v>
      </c>
      <c r="H11" s="5">
        <v>65000</v>
      </c>
      <c r="I11" s="4" t="str" xml:space="preserve">
        <v xml:space="preserve">Staff time to analyze constraints and co-design indicators with youth and stakeholders.
Operational budget for validation workshops, travel, and stakeholder meetings in Ethiopia.
Staff time to finalize and publish the indicator framework as a knowledge product.</v>
      </c>
      <c r="J11" s="4">
        <v>6158</v>
      </c>
    </row>
    <row r="12" ht="50" customHeight="1" xml:space="preserve">
      <c r="B12" s="4" t="str">
        <v>ICARDA</v>
      </c>
      <c r="D12" s="4" t="str">
        <v>Scoping study and evidence report on pathways enabling youth to access resources, strengthen skills, and exercise agency within the sheep fattening value chain, providing actionable recommendations for targeted interventions</v>
      </c>
      <c r="E12" s="4" t="str">
        <v>Number of knowledge products</v>
      </c>
      <c r="F12" s="4" t="str">
        <v>Ethiopia</v>
      </c>
      <c r="G12" s="5">
        <v>1</v>
      </c>
      <c r="H12" s="5">
        <v>65000</v>
      </c>
      <c r="I12" s="4" t="str" xml:space="preserve">
        <v xml:space="preserve">Staff time to conduct scoping study, collect data, and analyze pathways for youth.
Operational budget for fieldwork, focus groups, and data processing in Ethiopia.
Staff time to write the evidence report with actionable recommendations and share it.</v>
      </c>
      <c r="J12" s="4">
        <v>6159</v>
      </c>
    </row>
    <row r="13" ht="25" customHeight="1">
      <c r="C13" s="9" t="str">
        <v>HLO budget subtotal</v>
      </c>
      <c r="H13" s="9">
        <v>130000</v>
      </c>
      <c r="J13" s="9" t="str">
        <v/>
      </c>
    </row>
  </sheetData>
  <mergeCells count="15">
    <mergeCell ref="A1:A2"/>
    <mergeCell ref="B1:B2"/>
    <mergeCell ref="C1:C2"/>
    <mergeCell ref="D1:H1"/>
    <mergeCell ref="I1:I2"/>
    <mergeCell ref="J1:J2"/>
    <mergeCell ref="C3:C6"/>
    <mergeCell ref="C7:G7"/>
    <mergeCell ref="A3:A7"/>
    <mergeCell ref="C8:C9"/>
    <mergeCell ref="C10:G10"/>
    <mergeCell ref="A8:A10"/>
    <mergeCell ref="C11:C12"/>
    <mergeCell ref="C13:G13"/>
    <mergeCell ref="A11:A13"/>
  </mergeCells>
  <ignoredErrors>
    <ignoredError numberStoredAsText="1" sqref="A1:J13"/>
  </ignoredErrors>
</worksheet>
</file>

<file path=xl/worksheets/sheet3.xml><?xml version="1.0" encoding="utf-8"?>
<worksheet xmlns="http://schemas.openxmlformats.org/spreadsheetml/2006/main" xmlns:r="http://schemas.openxmlformats.org/officeDocument/2006/relationships">
  <dimension ref="A1:G7"/>
  <sheetViews>
    <sheetView workbookViewId="0"/>
  </sheetViews>
  <cols>
    <col min="1" max="1" width="8.83203125" customWidth="1"/>
    <col min="2" max="2" width="40.83203125" customWidth="1"/>
    <col min="3" max="3" width="30.83203125" customWidth="1"/>
    <col min="4" max="4" width="30.83203125" customWidth="1"/>
    <col min="5" max="5" width="30.83203125" customWidth="1"/>
    <col min="6" max="6" width="30.83203125" customWidth="1"/>
    <col min="7" max="7" width="10.83203125" customWidth="1" hidden="true"/>
  </cols>
  <sheetData>
    <row r="1" ht="30" customHeight="1">
      <c r="A1" s="3" t="str">
        <v>AOW</v>
      </c>
      <c r="B1" s="3" t="str">
        <v>Partner</v>
      </c>
      <c r="C1" s="3" t="str">
        <v>Center</v>
      </c>
      <c r="D1" s="3" t="str">
        <v>Geographic location</v>
      </c>
      <c r="E1" s="3" t="str">
        <v>Total Budget (USD)</v>
      </c>
      <c r="F1" s="3" t="str">
        <v>Assumption</v>
      </c>
      <c r="G1" s="3" t="str">
        <v>id</v>
      </c>
    </row>
    <row r="2" ht="50" customHeight="1">
      <c r="A2" s="8" t="str">
        <v>AOW01: Accelerating Solutions for Impact</v>
      </c>
      <c r="B2" s="4" t="str">
        <v>Office National du Conseil Agricole/National Office of the Agricultural Council (Morocco)</v>
      </c>
      <c r="C2" s="4" t="str">
        <v>ICARDA</v>
      </c>
      <c r="D2" s="4" t="str">
        <v>Morocco</v>
      </c>
      <c r="E2" s="5">
        <v>20000</v>
      </c>
      <c r="F2" s="4" t="str">
        <v>Contractual partner budget</v>
      </c>
      <c r="G2" s="4">
        <v>98</v>
      </c>
    </row>
    <row r="3" ht="50" customHeight="1">
      <c r="A3" s="4" t="str">
        <v>AOW01: Accelerating Solutions for Impact</v>
      </c>
      <c r="B3" s="4" t="str">
        <v>terroir mania morocco</v>
      </c>
      <c r="C3" s="4" t="str">
        <v>ICARDA</v>
      </c>
      <c r="D3" s="4" t="str">
        <v>Morocco</v>
      </c>
      <c r="E3" s="5">
        <v>30000</v>
      </c>
      <c r="F3" s="4" t="str">
        <v>Contractual partner budget</v>
      </c>
      <c r="G3" s="4">
        <v>99</v>
      </c>
    </row>
    <row r="4" ht="50" customHeight="1">
      <c r="A4" s="4" t="str">
        <v>AOW01: Accelerating Solutions for Impact</v>
      </c>
      <c r="B4" s="4" t="str">
        <v>Fondation Spect'act</v>
      </c>
      <c r="C4" s="4" t="str">
        <v>ICARDA</v>
      </c>
      <c r="D4" s="4" t="str">
        <v>Morocco</v>
      </c>
      <c r="E4" s="5">
        <v>10000</v>
      </c>
      <c r="F4" s="4" t="str">
        <v>Contractual partner budget</v>
      </c>
      <c r="G4" s="4">
        <v>100</v>
      </c>
    </row>
    <row r="5" ht="25" customHeight="1">
      <c r="B5" s="9" t="str">
        <v>Contracted partners subtotal</v>
      </c>
      <c r="E5" s="9">
        <v>60000</v>
      </c>
      <c r="F5" s="9" t="str">
        <v/>
      </c>
      <c r="G5" s="9" t="str">
        <v/>
      </c>
    </row>
    <row r="6" ht="50" customHeight="1">
      <c r="A6" s="8" t="str">
        <v>AOW03: Youth Thrive</v>
      </c>
      <c r="B6" s="4" t="str">
        <v>women empowerment action ethiopia</v>
      </c>
      <c r="C6" s="4" t="str">
        <v>ICARDA</v>
      </c>
      <c r="D6" s="4" t="str">
        <v>Ethiopia</v>
      </c>
      <c r="E6" s="5">
        <v>33000</v>
      </c>
      <c r="F6" s="4" t="str">
        <v>Partner will support HLO</v>
      </c>
      <c r="G6" s="4">
        <v>101</v>
      </c>
    </row>
    <row r="7" ht="25" customHeight="1">
      <c r="B7" s="9" t="str">
        <v>Contracted partners subtotal</v>
      </c>
      <c r="E7" s="9">
        <v>33000</v>
      </c>
      <c r="F7" s="9" t="str">
        <v/>
      </c>
      <c r="G7" s="9" t="str">
        <v/>
      </c>
    </row>
  </sheetData>
  <mergeCells count="4">
    <mergeCell ref="B5:D5"/>
    <mergeCell ref="A2:A5"/>
    <mergeCell ref="B7:D7"/>
    <mergeCell ref="A6:A7"/>
  </mergeCells>
  <ignoredErrors>
    <ignoredError numberStoredAsText="1" sqref="A1:G7"/>
  </ignoredErrors>
</worksheet>
</file>

<file path=xl/worksheets/sheet4.xml><?xml version="1.0" encoding="utf-8"?>
<worksheet xmlns="http://schemas.openxmlformats.org/spreadsheetml/2006/main" xmlns:r="http://schemas.openxmlformats.org/officeDocument/2006/relationships">
  <dimension ref="A1:F3"/>
  <sheetViews>
    <sheetView workbookViewId="0"/>
  </sheetViews>
  <cols>
    <col min="1" max="1" width="15.83203125" customWidth="1"/>
    <col min="2" max="2" width="40.83203125" customWidth="1"/>
    <col min="3" max="3" width="30.83203125" customWidth="1"/>
    <col min="4" max="4" width="30.83203125" customWidth="1"/>
    <col min="5" max="5" width="30.83203125" customWidth="1"/>
    <col min="6" max="6" width="10.83203125" customWidth="1" hidden="true"/>
  </cols>
  <sheetData>
    <row r="1" ht="30" customHeight="1">
      <c r="A1" s="3" t="str">
        <v>Center</v>
      </c>
      <c r="B1" s="3" t="str">
        <v>Project title</v>
      </c>
      <c r="C1" s="3" t="str">
        <v>High Level Output title</v>
      </c>
      <c r="D1" s="3" t="str">
        <v>W3/Bilateral Project (USD)</v>
      </c>
      <c r="E1" s="3" t="str">
        <v>Assumption</v>
      </c>
      <c r="F1" s="3" t="str">
        <v>id</v>
      </c>
    </row>
    <row r="2" ht="60" customHeight="1">
      <c r="A2" s="8" t="str">
        <v>ICARDA</v>
      </c>
      <c r="B2" s="4" t="str">
        <v>D-100867-PRIMA: Lost and found: Neglected and Underutilized Species (NUS) and water harvesting for building climate change resilience, soil fertility, dietary diversity, and women’s empowerment</v>
      </c>
      <c r="C2" s="4" t="str">
        <v>1.4 Amplify the voices of women, youth and socially excluded groups</v>
      </c>
      <c r="D2" s="5">
        <v>68652</v>
      </c>
      <c r="E2" s="4" t="str">
        <v>N/A</v>
      </c>
      <c r="F2" s="4">
        <v>1189</v>
      </c>
    </row>
    <row r="3" ht="25" customHeight="1">
      <c r="B3" s="9" t="str">
        <v>W3/Bilateral budget subtotal</v>
      </c>
      <c r="D3" s="9">
        <v>68652</v>
      </c>
      <c r="E3" s="9" t="str">
        <v/>
      </c>
      <c r="F3" s="9" t="str">
        <v/>
      </c>
    </row>
  </sheetData>
  <mergeCells count="2">
    <mergeCell ref="B3:C3"/>
    <mergeCell ref="A2:A3"/>
  </mergeCells>
  <ignoredErrors>
    <ignoredError numberStoredAsText="1" sqref="A1:F3"/>
  </ignoredErrors>
</worksheet>
</file>

<file path=xl/worksheets/sheet5.xml><?xml version="1.0" encoding="utf-8"?>
<worksheet xmlns="http://schemas.openxmlformats.org/spreadsheetml/2006/main" xmlns:r="http://schemas.openxmlformats.org/officeDocument/2006/relationships">
  <dimension ref="A1:H1"/>
  <sheetViews>
    <sheetView workbookViewId="0"/>
  </sheetViews>
  <cols>
    <col min="1" max="1" width="8.83203125" customWidth="1"/>
    <col min="2" max="2" width="15.83203125" customWidth="1"/>
    <col min="3" max="3" width="40.83203125" customWidth="1"/>
    <col min="4" max="4" width="30.83203125" customWidth="1"/>
    <col min="5" max="5" width="30.83203125" customWidth="1"/>
    <col min="6" max="6" width="25.83203125" customWidth="1"/>
    <col min="7" max="7" width="30.83203125" customWidth="1"/>
    <col min="8" max="8" width="10.83203125" customWidth="1" hidden="true"/>
  </cols>
  <sheetData>
    <row r="1" ht="30" customHeight="1">
      <c r="A1" s="3" t="str">
        <v>AOW</v>
      </c>
      <c r="B1" s="3" t="str">
        <v>Center</v>
      </c>
      <c r="C1" s="3" t="str">
        <v>MELIA study</v>
      </c>
      <c r="D1" s="3" t="str">
        <v>Supported outcomes</v>
      </c>
      <c r="E1" s="3" t="str">
        <v>Geographic location</v>
      </c>
      <c r="F1" s="3" t="str">
        <v>Total Budget (USD)</v>
      </c>
      <c r="G1" s="3" t="str">
        <v>Assumption</v>
      </c>
      <c r="H1" s="3" t="str">
        <v>id</v>
      </c>
    </row>
  </sheetData>
  <ignoredErrors>
    <ignoredError numberStoredAsText="1" sqref="A1:H1"/>
  </ignoredErrors>
</worksheet>
</file>

<file path=xl/worksheets/sheet6.xml><?xml version="1.0" encoding="utf-8"?>
<worksheet xmlns="http://schemas.openxmlformats.org/spreadsheetml/2006/main" xmlns:r="http://schemas.openxmlformats.org/officeDocument/2006/relationships">
  <dimension ref="A1:G1"/>
  <sheetViews>
    <sheetView workbookViewId="0"/>
  </sheetViews>
  <cols>
    <col min="1" max="1" width="10.83203125" customWidth="1"/>
    <col min="2" max="2" width="15.83203125" customWidth="1"/>
    <col min="3" max="3" width="40.83203125" customWidth="1"/>
    <col min="4" max="4" width="25.83203125" customWidth="1"/>
    <col min="5" max="5" width="30.83203125" customWidth="1"/>
    <col min="6" max="6" width="10.83203125" customWidth="1" hidden="true"/>
    <col min="7" max="7" width="10.83203125" customWidth="1" hidden="true"/>
  </cols>
  <sheetData>
    <row r="1" ht="60" customHeight="1">
      <c r="A1" s="3" t="str">
        <v>AOW</v>
      </c>
      <c r="B1" s="3" t="str">
        <v>Center</v>
      </c>
      <c r="C1" s="3" t="str">
        <v>Cost elements</v>
      </c>
      <c r="D1" s="3" t="str">
        <v>Total budget (USD)</v>
      </c>
      <c r="E1" s="3" t="str">
        <v>Assumption</v>
      </c>
      <c r="F1" s="3" t="str">
        <v>id</v>
      </c>
      <c r="G1" s="3" t="str">
        <v>standerd_cross_cutting_id</v>
      </c>
    </row>
  </sheetData>
  <ignoredErrors>
    <ignoredError numberStoredAsText="1" sqref="A1:G1"/>
  </ignoredErrors>
</worksheet>
</file>

<file path=xl/worksheets/sheet7.xml><?xml version="1.0" encoding="utf-8"?>
<worksheet xmlns="http://schemas.openxmlformats.org/spreadsheetml/2006/main" xmlns:r="http://schemas.openxmlformats.org/officeDocument/2006/relationships">
  <dimension ref="A1:F5"/>
  <sheetViews>
    <sheetView workbookViewId="0"/>
  </sheetViews>
  <cols>
    <col min="1" max="1" width="25.83203125" customWidth="1"/>
    <col min="2" max="2" width="10.83203125" customWidth="1"/>
    <col min="3" max="3" width="10.83203125" customWidth="1"/>
    <col min="4" max="4" width="10.83203125" customWidth="1"/>
    <col min="5" max="5" width="10.83203125" customWidth="1"/>
    <col min="6" max="6" width="20.83203125" customWidth="1"/>
  </cols>
  <sheetData>
    <row r="1" ht="25" customHeight="1">
      <c r="A1" s="3" t="str">
        <v>Main Accounts</v>
      </c>
      <c r="B1" s="3" t="str">
        <v>AOW00</v>
      </c>
      <c r="C1" s="3" t="str">
        <v>AOW01</v>
      </c>
      <c r="D1" s="3" t="str">
        <v>AOW02</v>
      </c>
      <c r="E1" s="3" t="str">
        <v>AOW03</v>
      </c>
      <c r="F1" s="3" t="str">
        <v>Total budget (USD)</v>
      </c>
    </row>
    <row r="2" ht="20" customHeight="1">
      <c r="A2" s="4" t="str">
        <v>Staffing, Chargebacks and Indirect</v>
      </c>
      <c r="B2" s="5">
        <v>0</v>
      </c>
      <c r="C2" s="5">
        <v>137417</v>
      </c>
      <c r="D2" s="5">
        <v>30500</v>
      </c>
      <c r="E2" s="5">
        <v>61048</v>
      </c>
      <c r="F2" s="5">
        <f>=SUM(B2:E2)</f>
        <v>0</v>
      </c>
    </row>
    <row r="3" ht="20" customHeight="1">
      <c r="A3" s="4" t="str">
        <v>Operations (supplies, consultants, travels, workshops, other)</v>
      </c>
      <c r="B3" s="5">
        <v>0</v>
      </c>
      <c r="C3" s="5">
        <v>61083</v>
      </c>
      <c r="D3" s="5">
        <v>29500</v>
      </c>
      <c r="E3" s="5">
        <v>35952</v>
      </c>
      <c r="F3" s="5">
        <f>=SUM(B3:E3)</f>
        <v>0</v>
      </c>
    </row>
    <row r="4" ht="20" customHeight="1">
      <c r="A4" s="4" t="str">
        <v>Collaborators non-CGIAR centers</v>
      </c>
      <c r="B4" s="5">
        <v>0</v>
      </c>
      <c r="C4" s="5">
        <v>60000</v>
      </c>
      <c r="D4" s="5">
        <v>0</v>
      </c>
      <c r="E4" s="5">
        <v>33000</v>
      </c>
      <c r="F4" s="5">
        <f>=SUM(B4:E4)</f>
        <v>0</v>
      </c>
    </row>
    <row r="5" ht="20" customHeight="1">
      <c r="A5" s="6" t="str">
        <v>Subtotal</v>
      </c>
      <c r="B5" s="7">
        <f>=SUM(B2:B4)</f>
        <v>0</v>
      </c>
      <c r="C5" s="7">
        <f>=SUM(C2:C4)</f>
        <v>0</v>
      </c>
      <c r="D5" s="7">
        <f>=SUM(D2:D4)</f>
        <v>0</v>
      </c>
      <c r="E5" s="7">
        <f>=SUM(E2:E4)</f>
        <v>0</v>
      </c>
      <c r="F5" s="7">
        <f>=SUM(F2:F4)</f>
        <v>0</v>
      </c>
    </row>
  </sheetData>
  <ignoredErrors>
    <ignoredError numberStoredAsText="1" sqref="A1:F5"/>
  </ignoredErrors>
</worksheet>
</file>

<file path=xl/worksheets/sheet8.xml><?xml version="1.0" encoding="utf-8"?>
<worksheet xmlns="http://schemas.openxmlformats.org/spreadsheetml/2006/main" xmlns:r="http://schemas.openxmlformats.org/officeDocument/2006/relationships">
  <dimension ref="A1:E7"/>
  <sheetViews>
    <sheetView workbookViewId="0"/>
  </sheetViews>
  <cols>
    <col min="1" max="1" width="10.83203125" customWidth="1"/>
    <col min="2" max="2" width="15.83203125" customWidth="1"/>
    <col min="3" max="3" width="30.83203125" customWidth="1"/>
    <col min="4" max="4" width="15.83203125" customWidth="1"/>
    <col min="5" max="5" width="10.83203125" customWidth="1" hidden="true"/>
  </cols>
  <sheetData>
    <row r="1" ht="60" customHeight="1">
      <c r="A1" s="3" t="str">
        <v>AOW</v>
      </c>
      <c r="B1" s="3" t="str">
        <v>Center</v>
      </c>
      <c r="C1" s="3" t="str">
        <v>Country</v>
      </c>
      <c r="D1" s="3" t="str">
        <v>Percentage (%)</v>
      </c>
      <c r="E1" s="3" t="str">
        <v>id</v>
      </c>
    </row>
    <row r="2" ht="45" customHeight="1">
      <c r="A2" s="8" t="str">
        <v>AOW01: Accelerating Solutions for Impact</v>
      </c>
      <c r="B2" s="4" t="str">
        <v>ICARDA</v>
      </c>
      <c r="C2" s="4" t="str">
        <v>Lebanon</v>
      </c>
      <c r="D2" s="5">
        <v>14</v>
      </c>
      <c r="E2" s="4">
        <v>929</v>
      </c>
    </row>
    <row r="3" ht="45" customHeight="1">
      <c r="A3" s="4" t="str">
        <v>AOW01: Accelerating Solutions for Impact</v>
      </c>
      <c r="B3" s="4" t="str">
        <v>ICARDA</v>
      </c>
      <c r="C3" s="4" t="str">
        <v>Morocco</v>
      </c>
      <c r="D3" s="5">
        <v>50</v>
      </c>
      <c r="E3" s="4">
        <v>928</v>
      </c>
    </row>
    <row r="4" ht="45" customHeight="1">
      <c r="A4" s="4" t="str">
        <v>AOW01: Accelerating Solutions for Impact</v>
      </c>
      <c r="B4" s="4" t="str">
        <v>ICARDA</v>
      </c>
      <c r="C4" s="4" t="str">
        <v>Tunisia</v>
      </c>
      <c r="D4" s="5">
        <v>36</v>
      </c>
      <c r="E4" s="4">
        <v>927</v>
      </c>
    </row>
    <row r="5" ht="45" customHeight="1">
      <c r="A5" s="8" t="str">
        <v>AOW02: Accelerating Change Through Evidence</v>
      </c>
      <c r="B5" s="4" t="str">
        <v>ICARDA</v>
      </c>
      <c r="C5" s="4" t="str">
        <v>Egypt</v>
      </c>
      <c r="D5" s="5">
        <v>42</v>
      </c>
      <c r="E5" s="4">
        <v>3405</v>
      </c>
    </row>
    <row r="6" ht="45" customHeight="1">
      <c r="A6" s="4" t="str">
        <v>AOW02: Accelerating Change Through Evidence</v>
      </c>
      <c r="B6" s="4" t="str">
        <v>ICARDA</v>
      </c>
      <c r="C6" s="4" t="str">
        <v>Morocco</v>
      </c>
      <c r="D6" s="5">
        <v>58</v>
      </c>
      <c r="E6" s="4">
        <v>3406</v>
      </c>
    </row>
    <row r="7" ht="45" customHeight="1">
      <c r="A7" s="8" t="str">
        <v>AOW03: Youth Thrive</v>
      </c>
      <c r="B7" s="4" t="str">
        <v>ICARDA</v>
      </c>
      <c r="C7" s="4" t="str">
        <v>Ethiopia</v>
      </c>
      <c r="D7" s="5">
        <v>100</v>
      </c>
      <c r="E7" s="4">
        <v>1157</v>
      </c>
    </row>
  </sheetData>
  <mergeCells count="3">
    <mergeCell ref="A2:A4"/>
    <mergeCell ref="A5:A6"/>
    <mergeCell ref="A7"/>
  </mergeCells>
  <ignoredErrors>
    <ignoredError numberStoredAsText="1" sqref="A1:E7"/>
  </ignoredErrors>
</worksheet>
</file>

<file path=xl/worksheets/sheet9.xml><?xml version="1.0" encoding="utf-8"?>
<worksheet xmlns="http://schemas.openxmlformats.org/spreadsheetml/2006/main" xmlns:r="http://schemas.openxmlformats.org/officeDocument/2006/relationships">
  <dimension ref="A1:F13"/>
  <sheetViews>
    <sheetView workbookViewId="0"/>
  </sheetViews>
  <cols>
    <col min="1" max="1" width="10.83203125" customWidth="1"/>
    <col min="2" max="2" width="15.83203125" customWidth="1"/>
    <col min="3" max="3" width="30.83203125" customWidth="1"/>
    <col min="4" max="4" width="12.83203125" customWidth="1"/>
    <col min="5" max="5" width="15.83203125" customWidth="1"/>
    <col min="6" max="6" width="10.83203125" customWidth="1" hidden="true"/>
  </cols>
  <sheetData>
    <row r="1" ht="60" customHeight="1">
      <c r="A1" s="3" t="str">
        <v>AOW</v>
      </c>
      <c r="B1" s="3" t="str">
        <v>Center</v>
      </c>
      <c r="C1" s="3" t="str">
        <v>Location</v>
      </c>
      <c r="D1" s="3" t="str">
        <v>Type</v>
      </c>
      <c r="E1" s="3" t="str">
        <v>Percentage (%)</v>
      </c>
      <c r="F1" s="3" t="str">
        <v>id</v>
      </c>
    </row>
    <row r="2" ht="45" customHeight="1">
      <c r="A2" s="8" t="str">
        <v>AOW01: Accelerating Solutions for Impact</v>
      </c>
      <c r="B2" s="4" t="str">
        <v>ICARDA</v>
      </c>
      <c r="C2" s="4" t="str">
        <v>Africa</v>
      </c>
      <c r="D2" s="4" t="str">
        <v>region</v>
      </c>
      <c r="E2" s="5">
        <v>85</v>
      </c>
      <c r="F2" s="4">
        <v>255</v>
      </c>
    </row>
    <row r="3" ht="45" customHeight="1">
      <c r="A3" s="4" t="str">
        <v>AOW01: Accelerating Solutions for Impact</v>
      </c>
      <c r="B3" s="4" t="str">
        <v>ICARDA</v>
      </c>
      <c r="C3" s="4" t="str">
        <v>Asia</v>
      </c>
      <c r="D3" s="4" t="str">
        <v>region</v>
      </c>
      <c r="E3" s="5">
        <v>15</v>
      </c>
      <c r="F3" s="4">
        <v>254</v>
      </c>
    </row>
    <row r="4" ht="45" customHeight="1">
      <c r="A4" s="8" t="str">
        <v>AOW02: Accelerating Change Through Evidence</v>
      </c>
      <c r="B4" s="4" t="str">
        <v>ICARDA</v>
      </c>
      <c r="C4" s="4" t="str">
        <v>Global</v>
      </c>
      <c r="D4" s="4" t="str">
        <v>global</v>
      </c>
      <c r="E4" s="5">
        <v>20</v>
      </c>
      <c r="F4" s="4">
        <v>1701</v>
      </c>
    </row>
    <row r="5" ht="45" customHeight="1">
      <c r="A5" s="4" t="str">
        <v>AOW02: Accelerating Change Through Evidence</v>
      </c>
      <c r="B5" s="4" t="str">
        <v>ICARDA</v>
      </c>
      <c r="C5" s="4" t="str">
        <v>Brazil</v>
      </c>
      <c r="D5" s="4" t="str">
        <v>country</v>
      </c>
      <c r="E5" s="5">
        <v>10</v>
      </c>
      <c r="F5" s="4">
        <v>1709</v>
      </c>
    </row>
    <row r="6" ht="45" customHeight="1">
      <c r="A6" s="4" t="str">
        <v>AOW02: Accelerating Change Through Evidence</v>
      </c>
      <c r="B6" s="4" t="str">
        <v>ICARDA</v>
      </c>
      <c r="C6" s="4" t="str">
        <v>Ethiopia</v>
      </c>
      <c r="D6" s="4" t="str">
        <v>country</v>
      </c>
      <c r="E6" s="5">
        <v>10</v>
      </c>
      <c r="F6" s="4">
        <v>1703</v>
      </c>
    </row>
    <row r="7" ht="45" customHeight="1">
      <c r="A7" s="4" t="str">
        <v>AOW02: Accelerating Change Through Evidence</v>
      </c>
      <c r="B7" s="4" t="str">
        <v>ICARDA</v>
      </c>
      <c r="C7" s="4" t="str">
        <v>Ghana</v>
      </c>
      <c r="D7" s="4" t="str">
        <v>country</v>
      </c>
      <c r="E7" s="5">
        <v>10</v>
      </c>
      <c r="F7" s="4">
        <v>1705</v>
      </c>
    </row>
    <row r="8" ht="45" customHeight="1">
      <c r="A8" s="4" t="str">
        <v>AOW02: Accelerating Change Through Evidence</v>
      </c>
      <c r="B8" s="4" t="str">
        <v>ICARDA</v>
      </c>
      <c r="C8" s="4" t="str">
        <v>India</v>
      </c>
      <c r="D8" s="4" t="str">
        <v>country</v>
      </c>
      <c r="E8" s="5">
        <v>10</v>
      </c>
      <c r="F8" s="4">
        <v>1708</v>
      </c>
    </row>
    <row r="9" ht="45" customHeight="1">
      <c r="A9" s="4" t="str">
        <v>AOW02: Accelerating Change Through Evidence</v>
      </c>
      <c r="B9" s="4" t="str">
        <v>ICARDA</v>
      </c>
      <c r="C9" s="4" t="str">
        <v>Kenya</v>
      </c>
      <c r="D9" s="4" t="str">
        <v>country</v>
      </c>
      <c r="E9" s="5">
        <v>10</v>
      </c>
      <c r="F9" s="4">
        <v>1704</v>
      </c>
    </row>
    <row r="10" ht="45" customHeight="1">
      <c r="A10" s="4" t="str">
        <v>AOW02: Accelerating Change Through Evidence</v>
      </c>
      <c r="B10" s="4" t="str">
        <v>ICARDA</v>
      </c>
      <c r="C10" s="4" t="str">
        <v>Morocco</v>
      </c>
      <c r="D10" s="4" t="str">
        <v>country</v>
      </c>
      <c r="E10" s="5">
        <v>10</v>
      </c>
      <c r="F10" s="4">
        <v>1707</v>
      </c>
    </row>
    <row r="11" ht="45" customHeight="1">
      <c r="A11" s="4" t="str">
        <v>AOW02: Accelerating Change Through Evidence</v>
      </c>
      <c r="B11" s="4" t="str">
        <v>ICARDA</v>
      </c>
      <c r="C11" s="4" t="str">
        <v>Nigeria</v>
      </c>
      <c r="D11" s="4" t="str">
        <v>country</v>
      </c>
      <c r="E11" s="5">
        <v>10</v>
      </c>
      <c r="F11" s="4">
        <v>1706</v>
      </c>
    </row>
    <row r="12" ht="45" customHeight="1">
      <c r="A12" s="4" t="str">
        <v>AOW02: Accelerating Change Through Evidence</v>
      </c>
      <c r="B12" s="4" t="str">
        <v>ICARDA</v>
      </c>
      <c r="C12" s="4" t="str">
        <v>The Democratic Republic of the Congo</v>
      </c>
      <c r="D12" s="4" t="str">
        <v>country</v>
      </c>
      <c r="E12" s="5">
        <v>10</v>
      </c>
      <c r="F12" s="4">
        <v>1710</v>
      </c>
    </row>
    <row r="13" ht="45" customHeight="1">
      <c r="A13" s="8" t="str">
        <v>AOW03: Youth Thrive</v>
      </c>
      <c r="B13" s="4" t="str">
        <v>ICARDA</v>
      </c>
      <c r="C13" s="4" t="str">
        <v>Africa</v>
      </c>
      <c r="D13" s="4" t="str">
        <v>region</v>
      </c>
      <c r="E13" s="5">
        <v>100</v>
      </c>
      <c r="F13" s="4">
        <v>383</v>
      </c>
    </row>
  </sheetData>
  <mergeCells count="3">
    <mergeCell ref="A2:A3"/>
    <mergeCell ref="A4:A12"/>
    <mergeCell ref="A13"/>
  </mergeCells>
  <ignoredErrors>
    <ignoredError numberStoredAsText="1" sqref="A1:F13"/>
  </ignoredErrors>
</worksheet>
</file>

<file path=xl/worksheets/sheet10.xml><?xml version="1.0" encoding="utf-8"?>
<worksheet xmlns="http://schemas.openxmlformats.org/spreadsheetml/2006/main" xmlns:r="http://schemas.openxmlformats.org/officeDocument/2006/relationships">
  <dimension ref="A1:E1"/>
  <sheetViews>
    <sheetView workbookViewId="0"/>
  </sheetViews>
  <cols>
    <col min="1" max="1" width="8.83203125" customWidth="1"/>
    <col min="2" max="2" width="35.83203125" customWidth="1"/>
    <col min="3" max="3" width="40.83203125" customWidth="1"/>
    <col min="4" max="4" width="50.83203125" customWidth="1"/>
    <col min="5" max="5" width="10.83203125" customWidth="1" hidden="true"/>
  </cols>
  <sheetData>
    <row r="1" ht="30" customHeight="1">
      <c r="A1" s="3" t="str">
        <v>AOW</v>
      </c>
      <c r="B1" s="3" t="str">
        <v>Program or Accelerator</v>
      </c>
      <c r="C1" s="3" t="str">
        <v>High Level Output</v>
      </c>
      <c r="D1" s="3" t="str">
        <v>Brief description</v>
      </c>
      <c r="E1" s="3" t="str">
        <v>id</v>
      </c>
    </row>
  </sheetData>
  <ignoredErrors>
    <ignoredError numberStoredAsText="1" sqref="A1:E1"/>
  </ignoredErrors>
</worksheet>
</file>

<file path=xl/worksheets/sheet11.xml><?xml version="1.0" encoding="utf-8"?>
<worksheet xmlns="http://schemas.openxmlformats.org/spreadsheetml/2006/main" xmlns:r="http://schemas.openxmlformats.org/officeDocument/2006/relationships">
  <dimension ref="A1:G16"/>
  <sheetViews>
    <sheetView workbookViewId="0"/>
  </sheetViews>
  <cols>
    <col min="1" max="1" width="8.83203125" customWidth="1"/>
    <col min="2" max="2" width="40.83203125" customWidth="1"/>
    <col min="3" max="3" width="25.83203125" customWidth="1"/>
    <col min="4" max="4" width="25.83203125" customWidth="1"/>
    <col min="5" max="5" width="30.83203125" customWidth="1"/>
    <col min="6" max="6" width="15.83203125" customWidth="1"/>
    <col min="7" max="7" width="10.83203125" customWidth="1" hidden="true"/>
  </cols>
  <sheetData>
    <row r="1" ht="30" customHeight="1">
      <c r="A1" s="3" t="str">
        <v>AOW</v>
      </c>
      <c r="B1" s="3" t="str">
        <v>Outcome</v>
      </c>
      <c r="C1" s="3" t="str">
        <v>Type of Outcome</v>
      </c>
      <c r="D1" s="3" t="str">
        <v>Indicator Type</v>
      </c>
      <c r="E1" s="3" t="str">
        <v>Geographic Location</v>
      </c>
      <c r="F1" s="3" t="str">
        <v>Target Value</v>
      </c>
      <c r="G1" s="3" t="str">
        <v>id</v>
      </c>
    </row>
    <row r="2" ht="60" customHeight="1">
      <c r="A2" s="8" t="str">
        <v>AOW00: Cross Cutting</v>
      </c>
      <c r="B2" s="4" t="str">
        <v>1.1 Pinpoint and act on restrictive norms</v>
      </c>
      <c r="C2" s="4" t="str">
        <v/>
      </c>
      <c r="D2" s="4" t="str">
        <v>Innovation Use</v>
      </c>
      <c r="E2" s="4" t="str">
        <v>Country: Bangladesh, Nigeria, Tanzania, United Republic</v>
      </c>
      <c r="F2" s="5">
        <v>0</v>
      </c>
      <c r="G2" s="4">
        <v>666</v>
      </c>
    </row>
    <row r="3" ht="60" customHeight="1">
      <c r="A3" s="4" t="str">
        <v>AOW00: Cross Cutting</v>
      </c>
      <c r="B3" s="4" t="str">
        <v>1. Use of metrics and analytics for monitoring progress in addressing structural barriers to gender equality and social inclusion</v>
      </c>
      <c r="C3" s="4" t="str">
        <v/>
      </c>
      <c r="D3" s="4" t="str">
        <v>Innovation Use</v>
      </c>
      <c r="E3" s="4" t="str">
        <v>Country: Bangladesh, Burkina Faso, Chad, China, Colombia, Egypt, Ethiopia, Gambia, Honduras, India, Jordan, Kenya, Lebanon, Malawi, Mali, Morocco, Mozambique, Niger, Nigeria, Papua New Guinea, South Africa, Tanzania, United Republic, Tunisia, Zimbabwe</v>
      </c>
      <c r="F3" s="5">
        <v>0</v>
      </c>
      <c r="G3" s="4">
        <v>667</v>
      </c>
    </row>
    <row r="4" ht="60" customHeight="1">
      <c r="A4" s="4" t="str">
        <v>AOW00: Cross Cutting</v>
      </c>
      <c r="B4" s="4" t="str">
        <v>1.2 Evidence-based support for women and youth empowerment</v>
      </c>
      <c r="C4" s="4" t="str">
        <v/>
      </c>
      <c r="D4" s="4" t="str">
        <v>Innovation Use</v>
      </c>
      <c r="E4" s="4" t="str">
        <v>Country: India</v>
      </c>
      <c r="F4" s="5">
        <v>5</v>
      </c>
      <c r="G4" s="4">
        <v>668</v>
      </c>
    </row>
    <row r="5" ht="60" customHeight="1">
      <c r="A5" s="4" t="str">
        <v>AOW00: Cross Cutting</v>
      </c>
      <c r="B5" s="4" t="str">
        <v>1.2 Evidence-based support for women and youth empowerment</v>
      </c>
      <c r="C5" s="4" t="str">
        <v/>
      </c>
      <c r="D5" s="4" t="str">
        <v>Innovation Use</v>
      </c>
      <c r="E5" s="4" t="str">
        <v>Country: Kenya</v>
      </c>
      <c r="F5" s="5">
        <v>5</v>
      </c>
      <c r="G5" s="4">
        <v>668</v>
      </c>
    </row>
    <row r="6" ht="60" customHeight="1">
      <c r="A6" s="4" t="str">
        <v>AOW00: Cross Cutting</v>
      </c>
      <c r="B6" s="4" t="str">
        <v>1.2 Evidence-based support for women and youth empowerment</v>
      </c>
      <c r="C6" s="4" t="str">
        <v/>
      </c>
      <c r="D6" s="4" t="str">
        <v>Innovation Use</v>
      </c>
      <c r="E6" s="4" t="str">
        <v>Country: Ethiopia</v>
      </c>
      <c r="F6" s="5">
        <v>5</v>
      </c>
      <c r="G6" s="4">
        <v>668</v>
      </c>
    </row>
    <row r="7" ht="60" customHeight="1">
      <c r="A7" s="4" t="str">
        <v>AOW00: Cross Cutting</v>
      </c>
      <c r="B7" s="4" t="str">
        <v>1.2 Evidence-based support for women and youth empowerment</v>
      </c>
      <c r="C7" s="4" t="str">
        <v/>
      </c>
      <c r="D7" s="4" t="str">
        <v>Number of Policy (Policy Change)</v>
      </c>
      <c r="E7" s="4" t="str">
        <v>Country: Ethiopia, India, Kenya</v>
      </c>
      <c r="F7" s="5">
        <v>0</v>
      </c>
      <c r="G7" s="4">
        <v>668</v>
      </c>
    </row>
    <row r="8" ht="60" customHeight="1">
      <c r="A8" s="4" t="str">
        <v>AOW00: Cross Cutting</v>
      </c>
      <c r="B8" s="4" t="str">
        <v xml:space="preserve">1.3 Evidence-based promotion of women's access to resources and social protection </v>
      </c>
      <c r="C8" s="4" t="str">
        <v/>
      </c>
      <c r="D8" s="4" t="str">
        <v>Innovation Use</v>
      </c>
      <c r="E8" s="4" t="str">
        <v>Country: Bangladesh, Egypt, Jordan, Kenya, Mali, Mozambique, Papua New Guinea, Zimbabwe</v>
      </c>
      <c r="F8" s="5">
        <v>0</v>
      </c>
      <c r="G8" s="4">
        <v>669</v>
      </c>
    </row>
    <row r="9" ht="60" customHeight="1">
      <c r="A9" s="4" t="str">
        <v>AOW00: Cross Cutting</v>
      </c>
      <c r="B9" s="4" t="str">
        <v>1.4 Amplify the voices of women, youth and socially excluded groups</v>
      </c>
      <c r="C9" s="4" t="str">
        <v/>
      </c>
      <c r="D9" s="4" t="str">
        <v>Innovation Use</v>
      </c>
      <c r="E9" s="4" t="str">
        <v>Country: Bangladesh, Burkina Faso, Chad, China, Colombia, Gambia, Honduras, India, Lebanon, Malawi, Mali, Morocco, Niger, Nigeria, South Africa, Tunisia</v>
      </c>
      <c r="F9" s="5">
        <v>0</v>
      </c>
      <c r="G9" s="4">
        <v>670</v>
      </c>
    </row>
    <row r="10" ht="60" customHeight="1">
      <c r="A10" s="4" t="str">
        <v>AOW00: Cross Cutting</v>
      </c>
      <c r="B10" s="4" t="str">
        <v>3.1: Evidence-based scaling of youth-responsive solutions</v>
      </c>
      <c r="C10" s="4" t="str">
        <v/>
      </c>
      <c r="D10" s="4" t="str">
        <v>Innovation Use</v>
      </c>
      <c r="E10" s="4" t="str">
        <v>Global</v>
      </c>
      <c r="F10" s="5">
        <v>1</v>
      </c>
      <c r="G10" s="4">
        <v>671</v>
      </c>
    </row>
    <row r="11" ht="60" customHeight="1">
      <c r="A11" s="4" t="str">
        <v>AOW00: Cross Cutting</v>
      </c>
      <c r="B11" s="4" t="str">
        <v>2.1 Use of methodologies and metrics rigorous and ethical research, monitoring practices and measuring empowerment and inclusion</v>
      </c>
      <c r="C11" s="4" t="str">
        <v/>
      </c>
      <c r="D11" s="4" t="str">
        <v>Innovation Use</v>
      </c>
      <c r="E11" s="4" t="str">
        <v>Global</v>
      </c>
      <c r="F11" s="5">
        <v>0</v>
      </c>
      <c r="G11" s="4">
        <v>672</v>
      </c>
    </row>
    <row r="12" ht="60" customHeight="1">
      <c r="A12" s="4" t="str">
        <v>AOW00: Cross Cutting</v>
      </c>
      <c r="B12" s="4" t="str">
        <v>2.2 Evidence-based decision, priority and target setting and investment</v>
      </c>
      <c r="C12" s="4" t="str">
        <v/>
      </c>
      <c r="D12" s="4" t="str">
        <v xml:space="preserve"> Number of partnering organisations that make evidence-based decisions, priority -setting, targeting and investments based on CGIAR and partners' GESI in FLWS research</v>
      </c>
      <c r="E12" s="4" t="str">
        <v>Global</v>
      </c>
      <c r="F12" s="5">
        <v>0</v>
      </c>
      <c r="G12" s="4">
        <v>673</v>
      </c>
    </row>
    <row r="13" ht="60" customHeight="1">
      <c r="A13" s="4" t="str">
        <v>AOW00: Cross Cutting</v>
      </c>
      <c r="B13" s="4" t="str">
        <v>2.3 Institutional change towards a truly inclusive environment that prioritizes the right gender, youth and social inclusion research</v>
      </c>
      <c r="C13" s="4" t="str">
        <v/>
      </c>
      <c r="D13" s="4" t="str">
        <v/>
      </c>
      <c r="E13" s="4" t="str">
        <v/>
      </c>
      <c r="F13" s="5">
        <v>0</v>
      </c>
      <c r="G13" s="4">
        <v>674</v>
      </c>
    </row>
    <row r="14" ht="60" customHeight="1">
      <c r="A14" s="4" t="str">
        <v>AOW00: Cross Cutting</v>
      </c>
      <c r="B14" s="4" t="str">
        <v xml:space="preserve">2. Dissemination, replication and scaling of gender responsive transformative and socially inclusive innovations </v>
      </c>
      <c r="C14" s="4" t="str">
        <v/>
      </c>
      <c r="D14" s="4" t="str">
        <v>Innovation Use</v>
      </c>
      <c r="E14" s="4" t="str">
        <v>Global</v>
      </c>
      <c r="F14" s="5">
        <v>0</v>
      </c>
      <c r="G14" s="4">
        <v>675</v>
      </c>
    </row>
    <row r="15" ht="60" customHeight="1">
      <c r="A15" s="4" t="str">
        <v>AOW00: Cross Cutting</v>
      </c>
      <c r="B15" s="4" t="str">
        <v>3. Use of evidence and innovations to address structural barriers to gender equality and social inclusion</v>
      </c>
      <c r="C15" s="4" t="str">
        <v/>
      </c>
      <c r="D15" s="4" t="str">
        <v>Innovation Use</v>
      </c>
      <c r="E15" s="4" t="str">
        <v>Global</v>
      </c>
      <c r="F15" s="5">
        <v>0</v>
      </c>
      <c r="G15" s="4">
        <v>676</v>
      </c>
    </row>
    <row r="16" ht="60" customHeight="1">
      <c r="A16" s="4" t="str">
        <v>AOW00: Cross Cutting</v>
      </c>
      <c r="B16" s="4" t="str">
        <v>4. Women, youth and socially excluded groups equitably benefit from innovations</v>
      </c>
      <c r="C16" s="4" t="str">
        <v/>
      </c>
      <c r="D16" s="4" t="str">
        <v>Innovation Use</v>
      </c>
      <c r="E16" s="4" t="str">
        <v>Global</v>
      </c>
      <c r="F16" s="5">
        <v>0</v>
      </c>
      <c r="G16" s="4">
        <v>677</v>
      </c>
    </row>
  </sheetData>
  <mergeCells count="3">
    <mergeCell ref="B4:B7"/>
    <mergeCell ref="C4:C7"/>
    <mergeCell ref="A2:A16"/>
  </mergeCells>
  <ignoredErrors>
    <ignoredError numberStoredAsText="1" sqref="A1:G1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11</vt:i4>
      </vt:variant>
    </vt:vector>
  </HeadingPairs>
  <TitlesOfParts>
    <vt:vector size="11" baseType="lpstr">
      <vt:lpstr>Summary</vt:lpstr>
      <vt:lpstr>HLO</vt:lpstr>
      <vt:lpstr>Partners</vt:lpstr>
      <vt:lpstr>W3-Bilateral</vt:lpstr>
      <vt:lpstr>MELIA</vt:lpstr>
      <vt:lpstr>Cross Cutting</vt:lpstr>
      <vt:lpstr>Anaplan</vt:lpstr>
      <vt:lpstr>Countries of Implementation</vt:lpstr>
      <vt:lpstr>Location of Benefit</vt:lpstr>
      <vt:lpstr>Synergy Programs</vt:lpstr>
      <vt:lpstr>Outcomes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