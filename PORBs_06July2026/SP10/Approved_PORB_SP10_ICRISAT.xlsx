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2</v>
      </c>
      <c r="C5" s="5">
        <v>50000</v>
      </c>
      <c r="D5" s="5">
        <v>1</v>
      </c>
      <c r="E5" s="5">
        <v>50000</v>
      </c>
      <c r="F5" s="5">
        <v>0</v>
      </c>
      <c r="G5" s="5">
        <v>0</v>
      </c>
      <c r="H5" s="5">
        <v>0</v>
      </c>
      <c r="I5" s="5">
        <v>0</v>
      </c>
      <c r="J5" s="5">
        <v>100000</v>
      </c>
      <c r="K5" s="5">
        <v>100000</v>
      </c>
      <c r="L5" s="5">
        <v>6000</v>
      </c>
      <c r="M5" s="5">
        <v>0</v>
      </c>
      <c r="N5" s="4">
        <v>209</v>
      </c>
    </row>
    <row r="6" ht="20" customHeight="1">
      <c r="A6" s="4" t="str">
        <v>AOW02: Accelerating Change Through Evidence</v>
      </c>
      <c r="B6" s="5">
        <v>0</v>
      </c>
      <c r="C6" s="5">
        <v>0</v>
      </c>
      <c r="D6" s="5">
        <v>7</v>
      </c>
      <c r="E6" s="5">
        <v>216619</v>
      </c>
      <c r="F6" s="5">
        <v>200</v>
      </c>
      <c r="G6" s="5">
        <v>38000</v>
      </c>
      <c r="H6" s="5">
        <v>0</v>
      </c>
      <c r="I6" s="5">
        <v>0</v>
      </c>
      <c r="J6" s="5">
        <v>254619</v>
      </c>
      <c r="K6" s="5">
        <v>254619</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50000</v>
      </c>
      <c r="D8" s="7" t="str">
        <v/>
      </c>
      <c r="E8" s="7">
        <v>266619</v>
      </c>
      <c r="F8" s="7" t="str">
        <v/>
      </c>
      <c r="G8" s="7">
        <v>38000</v>
      </c>
      <c r="H8" s="7" t="str">
        <v/>
      </c>
      <c r="I8" s="7">
        <v>0</v>
      </c>
      <c r="J8" s="7">
        <v>354619</v>
      </c>
      <c r="K8" s="7">
        <v>354619</v>
      </c>
      <c r="L8" s="7">
        <v>6000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ICRISAT</v>
      </c>
      <c r="C3" s="4" t="str">
        <v>1.1.2: Interventions for addressing restrictive norms</v>
      </c>
      <c r="D3" s="4" t="str">
        <v>Gender responsive value chain, market and enterprise assessments: evidence to guide equitable value-chain interventions and policy strategies for inclusive enterprise development</v>
      </c>
      <c r="E3" s="4" t="str">
        <v>Number of knowledge products</v>
      </c>
      <c r="F3" s="4" t="str">
        <v>India</v>
      </c>
      <c r="G3" s="5">
        <v>1</v>
      </c>
      <c r="H3" s="5">
        <v>50000</v>
      </c>
      <c r="I3" s="4" t="str">
        <v>Costing covers staff time to design surveys, run focus groups, and consult stakeholders, plus operational budget for travel, translation, and data tools, and staff time to write the final assessment report or scientific paper.</v>
      </c>
      <c r="J3" s="4">
        <v>6100</v>
      </c>
    </row>
    <row r="4" ht="50" customHeight="1">
      <c r="B4" s="4" t="str">
        <v>ICRISAT</v>
      </c>
      <c r="D4" s="4" t="str">
        <v xml:space="preserve">Pilot models for inclusive nutrition-focused enterprises co-designed with women and youth </v>
      </c>
      <c r="E4" s="4" t="str">
        <v>Number of innovations (innovation development)</v>
      </c>
      <c r="F4" s="4" t="str">
        <v>India</v>
      </c>
      <c r="G4" s="5">
        <v>2</v>
      </c>
      <c r="H4" s="5">
        <v>50000</v>
      </c>
      <c r="I4" s="4" t="str">
        <v xml:space="preserve"> Costing covers staff time to run co-design workshops with women, youth, farmers, and researchers, plus operational budget for venues, travel, materials, and participant support, and staff time to write the stakeholder consultation report and document the two pilot models.</v>
      </c>
      <c r="J4" s="4">
        <v>6102</v>
      </c>
    </row>
    <row r="5" ht="25" customHeight="1">
      <c r="C5" s="9" t="str">
        <v>HLO budget subtotal</v>
      </c>
      <c r="H5" s="9">
        <v>100000</v>
      </c>
      <c r="J5" s="9" t="str">
        <v/>
      </c>
    </row>
    <row r="6" ht="50" customHeight="1">
      <c r="A6" s="8" t="str">
        <v>AOW02: Accelerating Change Through Evidence</v>
      </c>
      <c r="B6" s="4" t="str">
        <v>ICRISAT</v>
      </c>
      <c r="C6" s="4" t="str">
        <v xml:space="preserve">2.3.1: Learning resources </v>
      </c>
      <c r="D6" s="4" t="str">
        <v>Contextualised GESI sensitization training package for farmers and communities on at least one priority theme (e.g. GBV, heat stress, empowerment, voice and leadership) developed, and finalized for use in India</v>
      </c>
      <c r="E6" s="4" t="str">
        <v>Number of people trained (capacity sharing for development)</v>
      </c>
      <c r="F6" s="4" t="str">
        <v>India</v>
      </c>
      <c r="G6" s="5">
        <v>200</v>
      </c>
      <c r="H6" s="5">
        <v>38000</v>
      </c>
      <c r="I6" s="4" t="str">
        <v>Costing covers staff time to develop and pilot a contextualised training package on a priority theme like GBV or leadership, plus operational budget for two training events reaching over 200 participants (women, men, FPO members, adolescents) in Bihar, and staff time to produce published training materials and a training report as the knowledge product.</v>
      </c>
      <c r="J6" s="4">
        <v>6199</v>
      </c>
    </row>
    <row r="7" ht="50" customHeight="1">
      <c r="B7" s="4" t="str">
        <v>ICRISAT</v>
      </c>
      <c r="D7" s="4" t="str">
        <v>Training module on Gender-responsive CIS integrating Citizen Science</v>
      </c>
      <c r="E7" s="4" t="str">
        <v>Number of knowledge products</v>
      </c>
      <c r="F7" s="4" t="str">
        <v>India</v>
      </c>
      <c r="G7" s="5">
        <v>1</v>
      </c>
      <c r="H7" s="5">
        <v>12788</v>
      </c>
      <c r="I7" s="4" t="str">
        <v>Gender and digital grant from Sweden w2 funds, joint KPI with IRRI</v>
      </c>
      <c r="J7" s="4">
        <v>8634</v>
      </c>
    </row>
    <row r="8" ht="50" customHeight="1">
      <c r="A8" s="4" t="str">
        <v>AOW02: Accelerating Change Through Evidence</v>
      </c>
      <c r="B8" s="4" t="str">
        <v>ICRISAT</v>
      </c>
      <c r="C8" s="4" t="str">
        <v>2.2.2: Policy engagement and outreach for equality, youth, and resilience</v>
      </c>
      <c r="D8" s="4" t="str">
        <v>Published paper on impact of government programs on women's incomes and nutrition in India</v>
      </c>
      <c r="E8" s="4" t="str">
        <v>Number of knowledge products</v>
      </c>
      <c r="F8" s="4" t="str">
        <v>India</v>
      </c>
      <c r="G8" s="5">
        <v>1</v>
      </c>
      <c r="H8" s="5">
        <v>45000</v>
      </c>
      <c r="I8" s="4" t="str">
        <v>Costing covers staff time to conduct impact assessment using longitudinal VLS/VDSA data, plus operational budget for data analysis software and access fees, and staff time to write and publish the scientific paper or impact assessment report.</v>
      </c>
      <c r="J8" s="4">
        <v>6200</v>
      </c>
    </row>
    <row r="9" ht="50" customHeight="1" xml:space="preserve">
      <c r="A9" s="4" t="str">
        <v>AOW02: Accelerating Change Through Evidence</v>
      </c>
      <c r="B9" s="4" t="str">
        <v>ICRISAT</v>
      </c>
      <c r="C9" s="4" t="str">
        <v xml:space="preserve">2.2.1: Research prioritization in gender, youth and social inclusion  </v>
      </c>
      <c r="D9" s="4" t="str" xml:space="preserve">
        <v xml:space="preserve">Evidence synthesis on one key GESI indicator (e.g. women's employment and wages; impact of government programs on women's incomes and nutrition)
</v>
      </c>
      <c r="E9" s="4" t="str">
        <v>Number of knowledge products</v>
      </c>
      <c r="F9" s="4" t="str">
        <v>India</v>
      </c>
      <c r="G9" s="5">
        <v>1</v>
      </c>
      <c r="H9" s="5">
        <v>48250</v>
      </c>
      <c r="I9" s="4" t="str">
        <v>Costing covers staff time to synthesize evidence on women's employment, wages, or impacts of government programs, plus operational budget for data compilation and stakeholder validation, and staff time to produce the synthesis report or scientific paper.</v>
      </c>
      <c r="J9" s="4">
        <v>6202</v>
      </c>
    </row>
    <row r="10" ht="50" customHeight="1">
      <c r="A10" s="4" t="str">
        <v>AOW02: Accelerating Change Through Evidence</v>
      </c>
      <c r="B10" s="4" t="str">
        <v>ICRISAT</v>
      </c>
      <c r="C10" s="4" t="str">
        <v>2.2.3: Co-design with Science Programs and Partners for integrating evidence-based solutions for equality, youth, resilience, and nutrition</v>
      </c>
      <c r="D10" s="4" t="str">
        <v>Center Needs Assessments and strategic roadmaps developed to identify institutional priorities, enabling conditions and opportunities for streamlining human-centered and inclusive digital product development</v>
      </c>
      <c r="E10" s="4" t="str">
        <v>Number of knowledge products</v>
      </c>
      <c r="F10" s="4" t="str">
        <v>United States of America, Kenya, Benin, Peru, Nepal, India, Egypt, Côte d'Ivoire, Malaysia, Germany, Philippines</v>
      </c>
      <c r="G10" s="5">
        <v>1</v>
      </c>
      <c r="H10" s="5">
        <v>25000</v>
      </c>
      <c r="I10" s="4" t="str">
        <v>This KPI and budget is for the Digital Transformation Accelerator from the Sweden W2 funding. GENDER only 'hosting' the budget but all responsibility for delivery and reporting is with DTA.</v>
      </c>
      <c r="J10" s="4">
        <v>8579</v>
      </c>
    </row>
    <row r="11" ht="50" customHeight="1">
      <c r="B11" s="4" t="str">
        <v>ICRISAT</v>
      </c>
      <c r="D11" s="4" t="str">
        <v>Technical report with evidence on how women farmers and socially excluded groups access, interpret, validate, and translate hyperlocal climate information into adaptive livelihood decisions</v>
      </c>
      <c r="E11" s="4" t="str">
        <v>Number of knowledge products</v>
      </c>
      <c r="F11" s="4" t="str">
        <v>India</v>
      </c>
      <c r="G11" s="5">
        <v>1</v>
      </c>
      <c r="H11" s="5">
        <v>5890</v>
      </c>
      <c r="I11" s="4" t="str">
        <v>Gender and digital grant from Sweden w2 funds, joint KPI with IRRI</v>
      </c>
      <c r="J11" s="4">
        <v>8628</v>
      </c>
    </row>
    <row r="12" ht="50" customHeight="1">
      <c r="B12" s="4" t="str">
        <v>ICRISAT</v>
      </c>
      <c r="D12" s="4" t="str">
        <v>Policy brief on community-based climate information co-production published and disseminated through women-led climate information dissemination networks</v>
      </c>
      <c r="E12" s="4" t="str">
        <v>Number of knowledge products</v>
      </c>
      <c r="F12" s="4" t="str">
        <v>India</v>
      </c>
      <c r="G12" s="5">
        <v>1</v>
      </c>
      <c r="H12" s="5">
        <v>4691</v>
      </c>
      <c r="I12" s="4" t="str">
        <v>Gender and digital grant from Sweden w2 funds, joint KPI with IRRI</v>
      </c>
      <c r="J12" s="4">
        <v>8637</v>
      </c>
    </row>
    <row r="13" ht="50" customHeight="1">
      <c r="A13" s="4" t="str">
        <v>AOW02: Accelerating Change Through Evidence</v>
      </c>
      <c r="B13" s="4" t="str">
        <v>ICRISAT</v>
      </c>
      <c r="C13" s="4" t="str">
        <v>2.3.4: Strategies for making gender equality, youth and social inclusion research an institutional priority</v>
      </c>
      <c r="D13" s="4" t="str">
        <v>Comprehensive report that documents successful and unsuccessful approaches to gender mainstreaming in agricultural organisations and establishes priorities for future learning, capacity strengthening and institutional transformation across the Global South (developed through global convening, cross-country learning and engagement with stakeholders)</v>
      </c>
      <c r="E13" s="4" t="str">
        <v>Number of knowledge products</v>
      </c>
      <c r="F13" s="4" t="str">
        <v>The Socialist Republic of Viet Nam</v>
      </c>
      <c r="G13" s="5">
        <v>1</v>
      </c>
      <c r="H13" s="5">
        <v>75000</v>
      </c>
      <c r="I13" s="4" t="str">
        <v>Staff time and operations. Sweden w2 funds</v>
      </c>
      <c r="J13" s="4">
        <v>8606</v>
      </c>
    </row>
    <row r="14" ht="25" customHeight="1">
      <c r="C14" s="9" t="str">
        <v>HLO budget subtotal</v>
      </c>
      <c r="H14" s="9">
        <v>254619</v>
      </c>
      <c r="J14" s="9" t="str">
        <v/>
      </c>
    </row>
  </sheetData>
  <mergeCells count="13">
    <mergeCell ref="A1:A2"/>
    <mergeCell ref="B1:B2"/>
    <mergeCell ref="C1:C2"/>
    <mergeCell ref="D1:H1"/>
    <mergeCell ref="I1:I2"/>
    <mergeCell ref="J1:J2"/>
    <mergeCell ref="C3:C4"/>
    <mergeCell ref="C5:G5"/>
    <mergeCell ref="A3:A5"/>
    <mergeCell ref="C6:C7"/>
    <mergeCell ref="C10:C12"/>
    <mergeCell ref="C14:G14"/>
    <mergeCell ref="A6:A14"/>
  </mergeCells>
  <ignoredErrors>
    <ignoredError numberStoredAsText="1" sqref="A1:J1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Unknown Partner 1</v>
      </c>
      <c r="C2" s="4" t="str">
        <v>ICRISAT</v>
      </c>
      <c r="D2" s="4" t="str">
        <v>India</v>
      </c>
      <c r="E2" s="5">
        <v>6000</v>
      </c>
      <c r="F2" s="4" t="str">
        <v>Ministry of Women and Child Development, Integrated Tribal Development  Agency - Not yet contracted</v>
      </c>
      <c r="G2" s="4">
        <v>103</v>
      </c>
    </row>
    <row r="3" ht="25" customHeight="1">
      <c r="B3" s="9" t="str">
        <v>Contracted partners subtotal</v>
      </c>
      <c r="E3" s="9">
        <v>6000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Scaling Commercialization of Drought Tolerant Crops (DTC) Technologies to Secure Dignified and Fulfilling Work for 120,000 Youth in Rural Kenya</v>
      </c>
      <c r="C2" s="4" t="str">
        <v>4. Women, youth and socially excluded groups equitably benefit from innovations</v>
      </c>
      <c r="D2" s="5">
        <v>138920</v>
      </c>
      <c r="E2" s="4" t="str">
        <v>N/A</v>
      </c>
      <c r="F2" s="4">
        <v>1193</v>
      </c>
    </row>
    <row r="3" ht="25" customHeight="1">
      <c r="B3" s="9" t="str">
        <v>W3/Bilateral budget subtotal</v>
      </c>
      <c r="D3" s="9">
        <v>138920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87602</v>
      </c>
      <c r="D2" s="5">
        <v>175738</v>
      </c>
      <c r="E2" s="5">
        <v>0</v>
      </c>
      <c r="F2" s="5">
        <f>=SUM(B2:E2)</f>
        <v>0</v>
      </c>
    </row>
    <row r="3" ht="20" customHeight="1">
      <c r="A3" s="4" t="str">
        <v>Operations (supplies, consultants, travels, workshops, other)</v>
      </c>
      <c r="B3" s="5">
        <v>0</v>
      </c>
      <c r="C3" s="5">
        <v>6398</v>
      </c>
      <c r="D3" s="5">
        <v>78881</v>
      </c>
      <c r="E3" s="5">
        <v>0</v>
      </c>
      <c r="F3" s="5">
        <f>=SUM(B3:E3)</f>
        <v>0</v>
      </c>
    </row>
    <row r="4" ht="20" customHeight="1">
      <c r="A4" s="4" t="str">
        <v>Collaborators non-CGIAR centers</v>
      </c>
      <c r="B4" s="5">
        <v>0</v>
      </c>
      <c r="C4" s="5">
        <v>6000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ICRISAT</v>
      </c>
      <c r="C2" s="4" t="str">
        <v>India</v>
      </c>
      <c r="D2" s="5">
        <v>100</v>
      </c>
      <c r="E2" s="4">
        <v>930</v>
      </c>
    </row>
    <row r="3" ht="45" customHeight="1">
      <c r="A3" s="8" t="str">
        <v>AOW02: Accelerating Change Through Evidence</v>
      </c>
      <c r="B3" s="4" t="str">
        <v>ICRISAT</v>
      </c>
      <c r="C3" s="4" t="str">
        <v>India</v>
      </c>
      <c r="D3" s="5">
        <v>100</v>
      </c>
      <c r="E3" s="4">
        <v>931</v>
      </c>
    </row>
  </sheetData>
  <mergeCells count="2">
    <mergeCell ref="A2"/>
    <mergeCell ref="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ICRISAT</v>
      </c>
      <c r="C2" s="4" t="str">
        <v>Africa</v>
      </c>
      <c r="D2" s="4" t="str">
        <v>region</v>
      </c>
      <c r="E2" s="5">
        <v>50</v>
      </c>
      <c r="F2" s="4">
        <v>259</v>
      </c>
    </row>
    <row r="3" ht="45" customHeight="1">
      <c r="A3" s="4" t="str">
        <v>AOW01: Accelerating Solutions for Impact</v>
      </c>
      <c r="B3" s="4" t="str">
        <v>ICRISAT</v>
      </c>
      <c r="C3" s="4" t="str">
        <v>India</v>
      </c>
      <c r="D3" s="4" t="str">
        <v>country</v>
      </c>
      <c r="E3" s="5">
        <v>50</v>
      </c>
      <c r="F3" s="4">
        <v>256</v>
      </c>
    </row>
    <row r="4" ht="45" customHeight="1">
      <c r="A4" s="8" t="str">
        <v>AOW02: Accelerating Change Through Evidence</v>
      </c>
      <c r="B4" s="4" t="str">
        <v>ICRISAT</v>
      </c>
      <c r="C4" s="4" t="str">
        <v>Africa</v>
      </c>
      <c r="D4" s="4" t="str">
        <v>region</v>
      </c>
      <c r="E4" s="5">
        <v>50</v>
      </c>
      <c r="F4" s="4">
        <v>258</v>
      </c>
    </row>
    <row r="5" ht="45" customHeight="1">
      <c r="A5" s="4" t="str">
        <v>AOW02: Accelerating Change Through Evidence</v>
      </c>
      <c r="B5" s="4" t="str">
        <v>ICRISAT</v>
      </c>
      <c r="C5" s="4" t="str">
        <v>India</v>
      </c>
      <c r="D5" s="4" t="str">
        <v>country</v>
      </c>
      <c r="E5" s="5">
        <v>50</v>
      </c>
      <c r="F5" s="4">
        <v>257</v>
      </c>
    </row>
  </sheetData>
  <mergeCells count="2">
    <mergeCell ref="A2:A3"/>
    <mergeCell ref="A4: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