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315620</v>
      </c>
      <c r="K4" s="5">
        <v>315620</v>
      </c>
      <c r="L4" s="5">
        <v>0</v>
      </c>
      <c r="M4" s="5">
        <v>0</v>
      </c>
      <c r="N4" s="4">
        <v>210</v>
      </c>
    </row>
    <row r="5" ht="20" customHeight="1">
      <c r="A5" s="4" t="str">
        <v>AOW01: Accelerating Solutions for Impact</v>
      </c>
      <c r="B5" s="5">
        <v>0</v>
      </c>
      <c r="C5" s="5">
        <v>0</v>
      </c>
      <c r="D5" s="5">
        <v>0</v>
      </c>
      <c r="E5" s="5">
        <v>0</v>
      </c>
      <c r="F5" s="5">
        <v>0</v>
      </c>
      <c r="G5" s="5">
        <v>0</v>
      </c>
      <c r="H5" s="5">
        <v>0</v>
      </c>
      <c r="I5" s="5">
        <v>0</v>
      </c>
      <c r="J5" s="5">
        <v>0</v>
      </c>
      <c r="K5" s="5">
        <v>0</v>
      </c>
      <c r="L5" s="5">
        <v>0</v>
      </c>
      <c r="M5" s="5">
        <v>0</v>
      </c>
      <c r="N5" s="4">
        <v>209</v>
      </c>
    </row>
    <row r="6" ht="20" customHeight="1">
      <c r="A6" s="4" t="str">
        <v>AOW02: Accelerating Change Through Evidence</v>
      </c>
      <c r="B6" s="5">
        <v>0</v>
      </c>
      <c r="C6" s="5">
        <v>0</v>
      </c>
      <c r="D6" s="5">
        <v>5</v>
      </c>
      <c r="E6" s="5">
        <v>55000</v>
      </c>
      <c r="F6" s="5">
        <v>0</v>
      </c>
      <c r="G6" s="5">
        <v>0</v>
      </c>
      <c r="H6" s="5">
        <v>2</v>
      </c>
      <c r="I6" s="5">
        <v>20000</v>
      </c>
      <c r="J6" s="5">
        <v>75000</v>
      </c>
      <c r="K6" s="5">
        <v>75000</v>
      </c>
      <c r="L6" s="5">
        <v>0</v>
      </c>
      <c r="M6" s="5">
        <v>0</v>
      </c>
      <c r="N6" s="4">
        <v>208</v>
      </c>
    </row>
    <row r="7" ht="20" customHeight="1">
      <c r="A7" s="4" t="str">
        <v>AOW03: Youth Thrive</v>
      </c>
      <c r="B7" s="5">
        <v>0</v>
      </c>
      <c r="C7" s="5">
        <v>0</v>
      </c>
      <c r="D7" s="5">
        <v>0</v>
      </c>
      <c r="E7" s="5">
        <v>0</v>
      </c>
      <c r="F7" s="5">
        <v>0</v>
      </c>
      <c r="G7" s="5">
        <v>0</v>
      </c>
      <c r="H7" s="5">
        <v>0</v>
      </c>
      <c r="I7" s="5">
        <v>0</v>
      </c>
      <c r="J7" s="5">
        <v>0</v>
      </c>
      <c r="K7" s="5">
        <v>0</v>
      </c>
      <c r="L7" s="5">
        <v>0</v>
      </c>
      <c r="M7" s="5">
        <v>0</v>
      </c>
      <c r="N7" s="4">
        <v>207</v>
      </c>
    </row>
    <row r="8" ht="25" customHeight="1">
      <c r="A8" s="6" t="str">
        <v>Total</v>
      </c>
      <c r="B8" s="7" t="str">
        <v/>
      </c>
      <c r="C8" s="7">
        <v>0</v>
      </c>
      <c r="D8" s="7" t="str">
        <v/>
      </c>
      <c r="E8" s="7">
        <v>55000</v>
      </c>
      <c r="F8" s="7" t="str">
        <v/>
      </c>
      <c r="G8" s="7">
        <v>0</v>
      </c>
      <c r="H8" s="7" t="str">
        <v/>
      </c>
      <c r="I8" s="7">
        <v>20000</v>
      </c>
      <c r="J8" s="7">
        <v>390620</v>
      </c>
      <c r="K8" s="7">
        <v>390620</v>
      </c>
      <c r="L8" s="7">
        <v>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Accelerating Change Through Evidence</v>
      </c>
      <c r="B3" s="4" t="str">
        <v>Unknown Center</v>
      </c>
      <c r="C3" s="4" t="str">
        <v>2.3.3: Spaces to foster learning, knowledge exchange, and enabling environment for gender equality, youth and social inclusion research uptake</v>
      </c>
      <c r="D3" s="4" t="str">
        <v>Operational Resource Hubs enriched with at least 50 new resources for gender research and youth research in food, water and land systems</v>
      </c>
      <c r="E3" s="4" t="str">
        <v>custom</v>
      </c>
      <c r="F3" s="4" t="str">
        <v>Kenya</v>
      </c>
      <c r="G3" s="5">
        <v>2</v>
      </c>
      <c r="H3" s="5">
        <v>20000</v>
      </c>
      <c r="I3" s="4" t="str">
        <v>OA fees as per demand by researchers in different centres</v>
      </c>
      <c r="J3" s="4">
        <v>6211</v>
      </c>
    </row>
    <row r="4" ht="50" customHeight="1">
      <c r="A4" s="4" t="str">
        <v>AOW02: Accelerating Change Through Evidence</v>
      </c>
      <c r="B4" s="4" t="str">
        <v>Unknown Center</v>
      </c>
      <c r="C4" s="4" t="str">
        <v>2.3.4: Strategies for making gender equality, youth and social inclusion research an institutional priority</v>
      </c>
      <c r="D4" s="4" t="str">
        <v>Develop and implement a global communication campaign for the International Year of the Women Farmer that produces and disseminates policy briefs, knowledge notes and communication materials to raise awareness of women farmers’ contributions and constraints in FWLS</v>
      </c>
      <c r="E4" s="4" t="str">
        <v>Number of knowledge products</v>
      </c>
      <c r="F4" s="4" t="str">
        <v>Kenya</v>
      </c>
      <c r="G4" s="5">
        <v>5</v>
      </c>
      <c r="H4" s="5">
        <v>55000</v>
      </c>
      <c r="I4" s="4" t="str">
        <v>Senior campaign consultant</v>
      </c>
      <c r="J4" s="4">
        <v>7759</v>
      </c>
    </row>
    <row r="5" ht="25" customHeight="1">
      <c r="C5" s="9" t="str">
        <v>HLO budget subtotal</v>
      </c>
      <c r="H5" s="9">
        <v>75000</v>
      </c>
      <c r="J5" s="9" t="str">
        <v/>
      </c>
    </row>
  </sheetData>
  <mergeCells count="8">
    <mergeCell ref="A1:A2"/>
    <mergeCell ref="B1:B2"/>
    <mergeCell ref="C1:C2"/>
    <mergeCell ref="D1:H1"/>
    <mergeCell ref="I1:I2"/>
    <mergeCell ref="J1:J2"/>
    <mergeCell ref="C5:G5"/>
    <mergeCell ref="A3:A5"/>
  </mergeCells>
  <ignoredErrors>
    <ignoredError numberStoredAsText="1" sqref="A1:J5"/>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Unknown Center</v>
      </c>
      <c r="C2" s="4" t="str">
        <v>Discretionary funds</v>
      </c>
      <c r="D2" s="5">
        <v>275620</v>
      </c>
      <c r="E2" s="4" t="str">
        <v>This will be sent to Centres as new opportunities arise during the year.</v>
      </c>
      <c r="F2" s="4">
        <v>98</v>
      </c>
      <c r="G2" s="4">
        <v>7</v>
      </c>
    </row>
    <row r="3" ht="45" customHeight="1">
      <c r="A3" s="4" t="str">
        <v>AOW00: Cross Cutting</v>
      </c>
      <c r="B3" s="4" t="str">
        <v>Unknown Center</v>
      </c>
      <c r="C3" s="4" t="str">
        <v>Area of Work Leads</v>
      </c>
      <c r="D3" s="5">
        <v>0</v>
      </c>
      <c r="E3" s="4" t="str">
        <v/>
      </c>
      <c r="F3" s="4">
        <v>99</v>
      </c>
      <c r="G3" s="4">
        <v>3</v>
      </c>
    </row>
    <row r="4" ht="45" customHeight="1">
      <c r="A4" s="4" t="str">
        <v>AOW00: Cross Cutting</v>
      </c>
      <c r="B4" s="4" t="str">
        <v>Unknown Center</v>
      </c>
      <c r="C4" s="4" t="str">
        <v>MELIA</v>
      </c>
      <c r="D4" s="5">
        <v>40000</v>
      </c>
      <c r="E4" s="4" t="str">
        <v>Operations/consultant</v>
      </c>
      <c r="F4" s="4">
        <v>117</v>
      </c>
      <c r="G4" s="4">
        <v>6</v>
      </c>
    </row>
    <row r="5" ht="25" customHeight="1">
      <c r="C5" s="9" t="str">
        <v>Cross-cutting budget subtotal</v>
      </c>
      <c r="D5" s="9">
        <v>315620</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F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0</v>
      </c>
      <c r="D2" s="5">
        <v>0</v>
      </c>
      <c r="E2" s="5">
        <v>0</v>
      </c>
      <c r="F2" s="5">
        <f>=SUM(B2:E2)</f>
        <v>0</v>
      </c>
    </row>
    <row r="3" ht="20" customHeight="1">
      <c r="A3" s="4" t="str">
        <v>Operations (supplies, consultants, travels, workshops, other)</v>
      </c>
      <c r="B3" s="5">
        <v>315620</v>
      </c>
      <c r="C3" s="5">
        <v>0</v>
      </c>
      <c r="D3" s="5">
        <v>75000</v>
      </c>
      <c r="E3" s="5">
        <v>0</v>
      </c>
      <c r="F3" s="5">
        <f>=SUM(B3:E3)</f>
        <v>0</v>
      </c>
    </row>
    <row r="4" ht="20" customHeight="1">
      <c r="A4" s="6" t="str">
        <v>Subtotal</v>
      </c>
      <c r="B4" s="7">
        <f>=SUM(B2:B3)</f>
        <v>0</v>
      </c>
      <c r="C4" s="7">
        <f>=SUM(C2:C3)</f>
        <v>0</v>
      </c>
      <c r="D4" s="7">
        <f>=SUM(D2:D3)</f>
        <v>0</v>
      </c>
      <c r="E4" s="7">
        <f>=SUM(E2:E3)</f>
        <v>0</v>
      </c>
      <c r="F4" s="7">
        <f>=SUM(F2:F3)</f>
        <v>0</v>
      </c>
    </row>
  </sheetData>
  <ignoredErrors>
    <ignoredError numberStoredAsText="1" sqref="A1:F4"/>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Global</v>
      </c>
      <c r="D2" s="4" t="str">
        <v>global</v>
      </c>
      <c r="E2" s="5">
        <v>100</v>
      </c>
      <c r="F2" s="4">
        <v>918</v>
      </c>
    </row>
    <row r="3" ht="45" customHeight="1">
      <c r="A3" s="8" t="str">
        <v>AOW02: Accelerating Change Through Evidence</v>
      </c>
      <c r="B3" s="4" t="str">
        <v>Unknown Center</v>
      </c>
      <c r="C3" s="4" t="str">
        <v>Global</v>
      </c>
      <c r="D3" s="4" t="str">
        <v>global</v>
      </c>
      <c r="E3" s="5">
        <v>100</v>
      </c>
      <c r="F3" s="4">
        <v>917</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