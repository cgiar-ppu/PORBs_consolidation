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429300</v>
      </c>
      <c r="K4" s="5">
        <v>429300</v>
      </c>
      <c r="L4" s="5">
        <v>0</v>
      </c>
      <c r="M4" s="5">
        <v>0</v>
      </c>
      <c r="N4" s="4">
        <v>210</v>
      </c>
    </row>
    <row r="5" ht="20" customHeight="1">
      <c r="A5" s="4" t="str">
        <v>AOW01: Accelerating Solutions for Impact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209</v>
      </c>
    </row>
    <row r="6" ht="20" customHeight="1">
      <c r="A6" s="4" t="str">
        <v>AOW02: Accelerating Change Through Evidence</v>
      </c>
      <c r="B6" s="5">
        <v>0</v>
      </c>
      <c r="C6" s="5">
        <v>0</v>
      </c>
      <c r="D6" s="5">
        <v>2</v>
      </c>
      <c r="E6" s="5">
        <v>24380</v>
      </c>
      <c r="F6" s="5">
        <v>0</v>
      </c>
      <c r="G6" s="5">
        <v>0</v>
      </c>
      <c r="H6" s="5">
        <v>0</v>
      </c>
      <c r="I6" s="5">
        <v>0</v>
      </c>
      <c r="J6" s="5">
        <v>24380</v>
      </c>
      <c r="K6" s="5">
        <v>24380</v>
      </c>
      <c r="L6" s="5">
        <v>0</v>
      </c>
      <c r="M6" s="5">
        <v>0</v>
      </c>
      <c r="N6" s="4">
        <v>208</v>
      </c>
    </row>
    <row r="7" ht="20" customHeight="1">
      <c r="A7" s="4" t="str">
        <v>AOW03: Youth Thrive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207</v>
      </c>
    </row>
    <row r="8" ht="25" customHeight="1">
      <c r="A8" s="6" t="str">
        <v>Total</v>
      </c>
      <c r="B8" s="7" t="str">
        <v/>
      </c>
      <c r="C8" s="7">
        <v>0</v>
      </c>
      <c r="D8" s="7" t="str">
        <v/>
      </c>
      <c r="E8" s="7">
        <v>24380</v>
      </c>
      <c r="F8" s="7" t="str">
        <v/>
      </c>
      <c r="G8" s="7">
        <v>0</v>
      </c>
      <c r="H8" s="7" t="str">
        <v/>
      </c>
      <c r="I8" s="7">
        <v>0</v>
      </c>
      <c r="J8" s="7">
        <v>453680</v>
      </c>
      <c r="K8" s="7">
        <v>453680</v>
      </c>
      <c r="L8" s="7">
        <v>0</v>
      </c>
      <c r="M8" s="7">
        <v>0</v>
      </c>
      <c r="N8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>
      <c r="A3" s="8" t="str">
        <v>AOW02: Accelerating Change Through Evidence</v>
      </c>
      <c r="B3" s="4" t="str">
        <v>SO</v>
      </c>
      <c r="C3" s="4" t="str">
        <v>2.2.2: Policy engagement and outreach for equality, youth, and resilience</v>
      </c>
      <c r="D3" s="4" t="str">
        <v>Published global Flagship Report on Gender Equality and Inclusion in food, land, and water systems by 2050: Projections and Solutions</v>
      </c>
      <c r="E3" s="4" t="str">
        <v>Number of knowledge products</v>
      </c>
      <c r="F3" s="4" t="str">
        <v>Kenya</v>
      </c>
      <c r="G3" s="5">
        <v>1</v>
      </c>
      <c r="H3" s="5">
        <v>13460</v>
      </c>
      <c r="I3" s="4" t="str">
        <v>Consultant</v>
      </c>
      <c r="J3" s="4">
        <v>6180</v>
      </c>
    </row>
    <row r="4" ht="50" customHeight="1">
      <c r="A4" s="4" t="str">
        <v>AOW02: Accelerating Change Through Evidence</v>
      </c>
      <c r="B4" s="4" t="str">
        <v>SO</v>
      </c>
      <c r="C4" s="4" t="str">
        <v>2.2.3: Co-design with Science Programs and Partners for integrating evidence-based solutions for equality, youth, resilience, and nutrition</v>
      </c>
      <c r="D4" s="4" t="str">
        <v xml:space="preserve">Machine learning case study with GENNOVATE data conducted and open access FAIR anonymized GENNOVATE dataset disseminated to CGIAR researchers </v>
      </c>
      <c r="E4" s="4" t="str">
        <v>Number of knowledge products</v>
      </c>
      <c r="F4" s="4" t="str">
        <v>Kenya</v>
      </c>
      <c r="G4" s="5">
        <v>1</v>
      </c>
      <c r="H4" s="5">
        <v>10920</v>
      </c>
      <c r="I4" s="4" t="str">
        <v>Consultant</v>
      </c>
      <c r="J4" s="4">
        <v>7605</v>
      </c>
    </row>
    <row r="5" ht="25" customHeight="1">
      <c r="C5" s="9" t="str">
        <v>HLO budget subtotal</v>
      </c>
      <c r="H5" s="9">
        <v>24380</v>
      </c>
      <c r="J5" s="9" t="str">
        <v/>
      </c>
    </row>
  </sheetData>
  <mergeCells count="8">
    <mergeCell ref="A1:A2"/>
    <mergeCell ref="B1:B2"/>
    <mergeCell ref="C1:C2"/>
    <mergeCell ref="D1:H1"/>
    <mergeCell ref="I1:I2"/>
    <mergeCell ref="J1:J2"/>
    <mergeCell ref="C5:G5"/>
    <mergeCell ref="A3:A5"/>
  </mergeCells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  <row r="2" ht="45" customHeight="1">
      <c r="A2" s="8" t="str">
        <v>AOW00: Cross Cutting</v>
      </c>
      <c r="B2" s="4" t="str">
        <v>SO</v>
      </c>
      <c r="C2" s="4" t="str">
        <v>Program Director and Associated Allocation</v>
      </c>
      <c r="D2" s="5">
        <v>414300</v>
      </c>
      <c r="E2" s="4" t="str">
        <v>Director, travel, in-person meeting, admin support, one consultant</v>
      </c>
      <c r="F2" s="4">
        <v>69</v>
      </c>
      <c r="G2" s="4">
        <v>1</v>
      </c>
    </row>
    <row r="3" ht="45" customHeight="1">
      <c r="A3" s="4" t="str">
        <v>AOW00: Cross Cutting</v>
      </c>
      <c r="B3" s="4" t="str">
        <v>SO</v>
      </c>
      <c r="C3" s="4" t="str">
        <v>PMU, CGIAR Program Finance Support and associated Allocation</v>
      </c>
      <c r="D3" s="5">
        <v>15000</v>
      </c>
      <c r="E3" s="4" t="str">
        <v>Shared finance support for SPs/ACCs at SO</v>
      </c>
      <c r="F3" s="4">
        <v>71</v>
      </c>
      <c r="G3" s="4">
        <v>2</v>
      </c>
    </row>
    <row r="4" ht="25" customHeight="1">
      <c r="C4" s="9" t="str">
        <v>Cross-cutting budget subtotal</v>
      </c>
      <c r="D4" s="9">
        <v>429300</v>
      </c>
      <c r="E4" s="9" t="str">
        <v/>
      </c>
      <c r="F4" s="9" t="str">
        <v/>
      </c>
      <c r="G4" s="9" t="str">
        <v/>
      </c>
    </row>
  </sheetData>
  <mergeCells count="1">
    <mergeCell ref="A2:A4"/>
  </mergeCells>
  <ignoredErrors>
    <ignoredError numberStoredAsText="1" sqref="A1:G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4" t="str">
        <v>Staffing, Chargebacks and Indirect</v>
      </c>
      <c r="B2" s="5">
        <v>385000</v>
      </c>
      <c r="C2" s="5">
        <v>0</v>
      </c>
      <c r="D2" s="5">
        <v>0</v>
      </c>
      <c r="E2" s="5">
        <v>0</v>
      </c>
      <c r="F2" s="5">
        <f>=SUM(B2:E2)</f>
        <v>0</v>
      </c>
    </row>
    <row r="3" ht="20" customHeight="1">
      <c r="A3" s="4" t="str">
        <v>Operations (supplies, consultants, travels, workshops, other)</v>
      </c>
      <c r="B3" s="5">
        <v>44300</v>
      </c>
      <c r="C3" s="5">
        <v>0</v>
      </c>
      <c r="D3" s="5">
        <v>24380</v>
      </c>
      <c r="E3" s="5">
        <v>0</v>
      </c>
      <c r="F3" s="5">
        <f>=SUM(B3:E3)</f>
        <v>0</v>
      </c>
    </row>
    <row r="4" ht="20" customHeight="1">
      <c r="A4" s="6" t="str">
        <v>Subtotal</v>
      </c>
      <c r="B4" s="7">
        <f>=SUM(B2:B3)</f>
        <v>0</v>
      </c>
      <c r="C4" s="7">
        <f>=SUM(C2:C3)</f>
        <v>0</v>
      </c>
      <c r="D4" s="7">
        <f>=SUM(D2:D3)</f>
        <v>0</v>
      </c>
      <c r="E4" s="7">
        <f>=SUM(E2:E3)</f>
        <v>0</v>
      </c>
      <c r="F4" s="7">
        <f>=SUM(F2:F3)</f>
        <v>0</v>
      </c>
    </row>
  </sheetData>
  <ignoredErrors>
    <ignoredError numberStoredAsText="1" sqref="A1:F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AOW00: Cross Cutting</v>
      </c>
      <c r="B2" s="4" t="str">
        <v>SO</v>
      </c>
      <c r="C2" s="4" t="str">
        <v>Kenya</v>
      </c>
      <c r="D2" s="5">
        <v>100</v>
      </c>
      <c r="E2" s="4">
        <v>2553</v>
      </c>
    </row>
    <row r="3" ht="45" customHeight="1">
      <c r="A3" s="8" t="str">
        <v>AOW02: Accelerating Change Through Evidence</v>
      </c>
      <c r="B3" s="4" t="str">
        <v>SO</v>
      </c>
      <c r="C3" s="4" t="str">
        <v>Kenya</v>
      </c>
      <c r="D3" s="5">
        <v>100</v>
      </c>
      <c r="E3" s="4">
        <v>2627</v>
      </c>
    </row>
  </sheetData>
  <mergeCells count="2">
    <mergeCell ref="A2"/>
    <mergeCell ref="A3"/>
  </mergeCells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AOW00: Cross Cutting</v>
      </c>
      <c r="B2" s="4" t="str">
        <v>SO</v>
      </c>
      <c r="C2" s="4" t="str">
        <v>Global</v>
      </c>
      <c r="D2" s="4" t="str">
        <v>global</v>
      </c>
      <c r="E2" s="5">
        <v>100</v>
      </c>
      <c r="F2" s="4">
        <v>913</v>
      </c>
    </row>
    <row r="3" ht="45" customHeight="1">
      <c r="A3" s="8" t="str">
        <v>AOW02: Accelerating Change Through Evidence</v>
      </c>
      <c r="B3" s="4" t="str">
        <v>SO</v>
      </c>
      <c r="C3" s="4" t="str">
        <v>Global</v>
      </c>
      <c r="D3" s="4" t="str">
        <v>global</v>
      </c>
      <c r="E3" s="5">
        <v>100</v>
      </c>
      <c r="F3" s="4">
        <v>190</v>
      </c>
    </row>
  </sheetData>
  <mergeCells count="2">
    <mergeCell ref="A2"/>
    <mergeCell ref="A3"/>
  </mergeCells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</sheetData>
  <ignoredErrors>
    <ignoredError numberStoredAsText="1" sqref="A1:E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1.1 Pinpoint and act on restrictive norms</v>
      </c>
      <c r="C2" s="4" t="str">
        <v/>
      </c>
      <c r="D2" s="4" t="str">
        <v>Innovation Use</v>
      </c>
      <c r="E2" s="4" t="str">
        <v>Country: Bangladesh, Nigeria, Tanzania, United Republic</v>
      </c>
      <c r="F2" s="5">
        <v>0</v>
      </c>
      <c r="G2" s="4">
        <v>666</v>
      </c>
    </row>
    <row r="3" ht="60" customHeight="1">
      <c r="A3" s="4" t="str">
        <v>AOW00: Cross Cutting</v>
      </c>
      <c r="B3" s="4" t="str">
        <v>1. Use of metrics and analytics for monitoring progress in addressing structural barriers to gender equality and social inclusion</v>
      </c>
      <c r="C3" s="4" t="str">
        <v/>
      </c>
      <c r="D3" s="4" t="str">
        <v>Innovation Use</v>
      </c>
      <c r="E3" s="4" t="str">
        <v>Country: Bangladesh, Burkina Faso, Chad, China, Colombia, Egypt, Ethiopia, Gambia, Honduras, India, Jordan, Kenya, Lebanon, Malawi, Mali, Morocco, Mozambique, Niger, Nigeria, Papua New Guinea, South Africa, Tanzania, United Republic, Tunisia, Zimbabwe</v>
      </c>
      <c r="F3" s="5">
        <v>0</v>
      </c>
      <c r="G3" s="4">
        <v>667</v>
      </c>
    </row>
    <row r="4" ht="60" customHeight="1">
      <c r="A4" s="4" t="str">
        <v>AOW00: Cross Cutting</v>
      </c>
      <c r="B4" s="4" t="str">
        <v>1.2 Evidence-based support for women and youth empowerment</v>
      </c>
      <c r="C4" s="4" t="str">
        <v/>
      </c>
      <c r="D4" s="4" t="str">
        <v>Innovation Use</v>
      </c>
      <c r="E4" s="4" t="str">
        <v>Country: India</v>
      </c>
      <c r="F4" s="5">
        <v>5</v>
      </c>
      <c r="G4" s="4">
        <v>668</v>
      </c>
    </row>
    <row r="5" ht="60" customHeight="1">
      <c r="A5" s="4" t="str">
        <v>AOW00: Cross Cutting</v>
      </c>
      <c r="B5" s="4" t="str">
        <v>1.2 Evidence-based support for women and youth empowerment</v>
      </c>
      <c r="C5" s="4" t="str">
        <v/>
      </c>
      <c r="D5" s="4" t="str">
        <v>Innovation Use</v>
      </c>
      <c r="E5" s="4" t="str">
        <v>Country: Kenya</v>
      </c>
      <c r="F5" s="5">
        <v>5</v>
      </c>
      <c r="G5" s="4">
        <v>668</v>
      </c>
    </row>
    <row r="6" ht="60" customHeight="1">
      <c r="A6" s="4" t="str">
        <v>AOW00: Cross Cutting</v>
      </c>
      <c r="B6" s="4" t="str">
        <v>1.2 Evidence-based support for women and youth empowerment</v>
      </c>
      <c r="C6" s="4" t="str">
        <v/>
      </c>
      <c r="D6" s="4" t="str">
        <v>Innovation Use</v>
      </c>
      <c r="E6" s="4" t="str">
        <v>Country: Ethiopia</v>
      </c>
      <c r="F6" s="5">
        <v>5</v>
      </c>
      <c r="G6" s="4">
        <v>668</v>
      </c>
    </row>
    <row r="7" ht="60" customHeight="1">
      <c r="A7" s="4" t="str">
        <v>AOW00: Cross Cutting</v>
      </c>
      <c r="B7" s="4" t="str">
        <v>1.2 Evidence-based support for women and youth empowerment</v>
      </c>
      <c r="C7" s="4" t="str">
        <v/>
      </c>
      <c r="D7" s="4" t="str">
        <v>Number of Policy (Policy Change)</v>
      </c>
      <c r="E7" s="4" t="str">
        <v>Country: Ethiopia, India, Kenya</v>
      </c>
      <c r="F7" s="5">
        <v>0</v>
      </c>
      <c r="G7" s="4">
        <v>668</v>
      </c>
    </row>
    <row r="8" ht="60" customHeight="1">
      <c r="A8" s="4" t="str">
        <v>AOW00: Cross Cutting</v>
      </c>
      <c r="B8" s="4" t="str">
        <v xml:space="preserve">1.3 Evidence-based promotion of women's access to resources and social protection </v>
      </c>
      <c r="C8" s="4" t="str">
        <v/>
      </c>
      <c r="D8" s="4" t="str">
        <v>Innovation Use</v>
      </c>
      <c r="E8" s="4" t="str">
        <v>Country: Bangladesh, Egypt, Jordan, Kenya, Mali, Mozambique, Papua New Guinea, Zimbabwe</v>
      </c>
      <c r="F8" s="5">
        <v>0</v>
      </c>
      <c r="G8" s="4">
        <v>669</v>
      </c>
    </row>
    <row r="9" ht="60" customHeight="1">
      <c r="A9" s="4" t="str">
        <v>AOW00: Cross Cutting</v>
      </c>
      <c r="B9" s="4" t="str">
        <v>1.4 Amplify the voices of women, youth and socially excluded groups</v>
      </c>
      <c r="C9" s="4" t="str">
        <v/>
      </c>
      <c r="D9" s="4" t="str">
        <v>Innovation Use</v>
      </c>
      <c r="E9" s="4" t="str">
        <v>Country: Bangladesh, Burkina Faso, Chad, China, Colombia, Gambia, Honduras, India, Lebanon, Malawi, Mali, Morocco, Niger, Nigeria, South Africa, Tunisia</v>
      </c>
      <c r="F9" s="5">
        <v>0</v>
      </c>
      <c r="G9" s="4">
        <v>670</v>
      </c>
    </row>
    <row r="10" ht="60" customHeight="1">
      <c r="A10" s="4" t="str">
        <v>AOW00: Cross Cutting</v>
      </c>
      <c r="B10" s="4" t="str">
        <v>3.1: Evidence-based scaling of youth-responsive solutions</v>
      </c>
      <c r="C10" s="4" t="str">
        <v/>
      </c>
      <c r="D10" s="4" t="str">
        <v>Innovation Use</v>
      </c>
      <c r="E10" s="4" t="str">
        <v>Global</v>
      </c>
      <c r="F10" s="5">
        <v>1</v>
      </c>
      <c r="G10" s="4">
        <v>671</v>
      </c>
    </row>
    <row r="11" ht="60" customHeight="1">
      <c r="A11" s="4" t="str">
        <v>AOW00: Cross Cutting</v>
      </c>
      <c r="B11" s="4" t="str">
        <v>2.1 Use of methodologies and metrics rigorous and ethical research, monitoring practices and measuring empowerment and inclusion</v>
      </c>
      <c r="C11" s="4" t="str">
        <v/>
      </c>
      <c r="D11" s="4" t="str">
        <v>Innovation Use</v>
      </c>
      <c r="E11" s="4" t="str">
        <v>Global</v>
      </c>
      <c r="F11" s="5">
        <v>0</v>
      </c>
      <c r="G11" s="4">
        <v>672</v>
      </c>
    </row>
    <row r="12" ht="60" customHeight="1">
      <c r="A12" s="4" t="str">
        <v>AOW00: Cross Cutting</v>
      </c>
      <c r="B12" s="4" t="str">
        <v>2.2 Evidence-based decision, priority and target setting and investment</v>
      </c>
      <c r="C12" s="4" t="str">
        <v/>
      </c>
      <c r="D12" s="4" t="str">
        <v xml:space="preserve"> Number of partnering organisations that make evidence-based decisions, priority -setting, targeting and investments based on CGIAR and partners' GESI in FLWS research</v>
      </c>
      <c r="E12" s="4" t="str">
        <v>Global</v>
      </c>
      <c r="F12" s="5">
        <v>0</v>
      </c>
      <c r="G12" s="4">
        <v>673</v>
      </c>
    </row>
    <row r="13" ht="60" customHeight="1">
      <c r="A13" s="4" t="str">
        <v>AOW00: Cross Cutting</v>
      </c>
      <c r="B13" s="4" t="str">
        <v>2.3 Institutional change towards a truly inclusive environment that prioritizes the right gender, youth and social inclusion research</v>
      </c>
      <c r="C13" s="4" t="str">
        <v/>
      </c>
      <c r="D13" s="4" t="str">
        <v/>
      </c>
      <c r="E13" s="4" t="str">
        <v/>
      </c>
      <c r="F13" s="5">
        <v>0</v>
      </c>
      <c r="G13" s="4">
        <v>674</v>
      </c>
    </row>
    <row r="14" ht="60" customHeight="1">
      <c r="A14" s="4" t="str">
        <v>AOW00: Cross Cutting</v>
      </c>
      <c r="B14" s="4" t="str">
        <v xml:space="preserve">2. Dissemination, replication and scaling of gender responsive transformative and socially inclusive innovations </v>
      </c>
      <c r="C14" s="4" t="str">
        <v/>
      </c>
      <c r="D14" s="4" t="str">
        <v>Innovation Use</v>
      </c>
      <c r="E14" s="4" t="str">
        <v>Global</v>
      </c>
      <c r="F14" s="5">
        <v>0</v>
      </c>
      <c r="G14" s="4">
        <v>675</v>
      </c>
    </row>
    <row r="15" ht="60" customHeight="1">
      <c r="A15" s="4" t="str">
        <v>AOW00: Cross Cutting</v>
      </c>
      <c r="B15" s="4" t="str">
        <v>3. Use of evidence and innovations to address structural barriers to gender equality and social inclusion</v>
      </c>
      <c r="C15" s="4" t="str">
        <v/>
      </c>
      <c r="D15" s="4" t="str">
        <v>Innovation Use</v>
      </c>
      <c r="E15" s="4" t="str">
        <v>Global</v>
      </c>
      <c r="F15" s="5">
        <v>0</v>
      </c>
      <c r="G15" s="4">
        <v>676</v>
      </c>
    </row>
    <row r="16" ht="60" customHeight="1">
      <c r="A16" s="4" t="str">
        <v>AOW00: Cross Cutting</v>
      </c>
      <c r="B16" s="4" t="str">
        <v>4. Women, youth and socially excluded groups equitably benefit from innovations</v>
      </c>
      <c r="C16" s="4" t="str">
        <v/>
      </c>
      <c r="D16" s="4" t="str">
        <v>Innovation Use</v>
      </c>
      <c r="E16" s="4" t="str">
        <v>Global</v>
      </c>
      <c r="F16" s="5">
        <v>0</v>
      </c>
      <c r="G16" s="4">
        <v>677</v>
      </c>
    </row>
  </sheetData>
  <mergeCells count="3">
    <mergeCell ref="B4:B7"/>
    <mergeCell ref="C4:C7"/>
    <mergeCell ref="A2:A16"/>
  </mergeCells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