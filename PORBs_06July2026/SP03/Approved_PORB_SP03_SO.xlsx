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530200</v>
      </c>
      <c r="K4" s="5">
        <v>530200</v>
      </c>
      <c r="L4" s="5">
        <v>0</v>
      </c>
      <c r="M4" s="5">
        <v>0</v>
      </c>
      <c r="N4" s="4">
        <v>176</v>
      </c>
    </row>
    <row r="5" ht="20" customHeight="1">
      <c r="A5" s="4" t="str">
        <v>AOW01: Productivity+</v>
      </c>
      <c r="B5" s="5">
        <v>0</v>
      </c>
      <c r="C5" s="5">
        <v>0</v>
      </c>
      <c r="D5" s="5">
        <v>0</v>
      </c>
      <c r="E5" s="5">
        <v>0</v>
      </c>
      <c r="F5" s="5">
        <v>0</v>
      </c>
      <c r="G5" s="5">
        <v>0</v>
      </c>
      <c r="H5" s="5">
        <v>0</v>
      </c>
      <c r="I5" s="5">
        <v>0</v>
      </c>
      <c r="J5" s="5">
        <v>0</v>
      </c>
      <c r="K5" s="5">
        <v>0</v>
      </c>
      <c r="L5" s="5">
        <v>0</v>
      </c>
      <c r="M5" s="5">
        <v>0</v>
      </c>
      <c r="N5" s="4">
        <v>175</v>
      </c>
    </row>
    <row r="6" ht="20" customHeight="1">
      <c r="A6" s="4" t="str">
        <v>AOW02: Climate and the Environment</v>
      </c>
      <c r="B6" s="5">
        <v>0</v>
      </c>
      <c r="C6" s="5">
        <v>0</v>
      </c>
      <c r="D6" s="5">
        <v>0</v>
      </c>
      <c r="E6" s="5">
        <v>0</v>
      </c>
      <c r="F6" s="5">
        <v>0</v>
      </c>
      <c r="G6" s="5">
        <v>0</v>
      </c>
      <c r="H6" s="5">
        <v>0</v>
      </c>
      <c r="I6" s="5">
        <v>0</v>
      </c>
      <c r="J6" s="5">
        <v>0</v>
      </c>
      <c r="K6" s="5">
        <v>0</v>
      </c>
      <c r="L6" s="5">
        <v>0</v>
      </c>
      <c r="M6" s="5">
        <v>0</v>
      </c>
      <c r="N6" s="4">
        <v>173</v>
      </c>
    </row>
    <row r="7" ht="20" customHeight="1">
      <c r="A7" s="4" t="str">
        <v>AOW03: One Health</v>
      </c>
      <c r="B7" s="5">
        <v>0</v>
      </c>
      <c r="C7" s="5">
        <v>0</v>
      </c>
      <c r="D7" s="5">
        <v>0</v>
      </c>
      <c r="E7" s="5">
        <v>0</v>
      </c>
      <c r="F7" s="5">
        <v>0</v>
      </c>
      <c r="G7" s="5">
        <v>0</v>
      </c>
      <c r="H7" s="5">
        <v>0</v>
      </c>
      <c r="I7" s="5">
        <v>0</v>
      </c>
      <c r="J7" s="5">
        <v>0</v>
      </c>
      <c r="K7" s="5">
        <v>0</v>
      </c>
      <c r="L7" s="5">
        <v>0</v>
      </c>
      <c r="M7" s="5">
        <v>0</v>
      </c>
      <c r="N7" s="4">
        <v>170</v>
      </c>
    </row>
    <row r="8" ht="20" customHeight="1">
      <c r="A8" s="4" t="str">
        <v>AOW04: Market Systems, Policy Solutions and Scaling</v>
      </c>
      <c r="B8" s="5">
        <v>0</v>
      </c>
      <c r="C8" s="5">
        <v>0</v>
      </c>
      <c r="D8" s="5">
        <v>0</v>
      </c>
      <c r="E8" s="5">
        <v>0</v>
      </c>
      <c r="F8" s="5">
        <v>0</v>
      </c>
      <c r="G8" s="5">
        <v>0</v>
      </c>
      <c r="H8" s="5">
        <v>0</v>
      </c>
      <c r="I8" s="5">
        <v>0</v>
      </c>
      <c r="J8" s="5">
        <v>0</v>
      </c>
      <c r="K8" s="5">
        <v>0</v>
      </c>
      <c r="L8" s="5">
        <v>0</v>
      </c>
      <c r="M8" s="5">
        <v>0</v>
      </c>
      <c r="N8" s="4">
        <v>172</v>
      </c>
    </row>
    <row r="9" ht="20" customHeight="1">
      <c r="A9" s="4" t="str">
        <v>AOW05: Gender, Youth and Social Inclusion</v>
      </c>
      <c r="B9" s="5">
        <v>0</v>
      </c>
      <c r="C9" s="5">
        <v>0</v>
      </c>
      <c r="D9" s="5">
        <v>0</v>
      </c>
      <c r="E9" s="5">
        <v>0</v>
      </c>
      <c r="F9" s="5">
        <v>0</v>
      </c>
      <c r="G9" s="5">
        <v>0</v>
      </c>
      <c r="H9" s="5">
        <v>0</v>
      </c>
      <c r="I9" s="5">
        <v>0</v>
      </c>
      <c r="J9" s="5">
        <v>0</v>
      </c>
      <c r="K9" s="5">
        <v>0</v>
      </c>
      <c r="L9" s="5">
        <v>0</v>
      </c>
      <c r="M9" s="5">
        <v>0</v>
      </c>
      <c r="N9" s="4">
        <v>171</v>
      </c>
    </row>
    <row r="10" ht="20" customHeight="1">
      <c r="A10" s="4" t="str">
        <v>AOW06: Data and Digital Solutions</v>
      </c>
      <c r="B10" s="5">
        <v>0</v>
      </c>
      <c r="C10" s="5">
        <v>0</v>
      </c>
      <c r="D10" s="5">
        <v>0</v>
      </c>
      <c r="E10" s="5">
        <v>0</v>
      </c>
      <c r="F10" s="5">
        <v>0</v>
      </c>
      <c r="G10" s="5">
        <v>0</v>
      </c>
      <c r="H10" s="5">
        <v>0</v>
      </c>
      <c r="I10" s="5">
        <v>0</v>
      </c>
      <c r="J10" s="5">
        <v>0</v>
      </c>
      <c r="K10" s="5">
        <v>0</v>
      </c>
      <c r="L10" s="5">
        <v>0</v>
      </c>
      <c r="M10" s="5">
        <v>0</v>
      </c>
      <c r="N10" s="4">
        <v>174</v>
      </c>
    </row>
    <row r="11" ht="25" customHeight="1">
      <c r="A11" s="6" t="str">
        <v>Total</v>
      </c>
      <c r="B11" s="7" t="str">
        <v/>
      </c>
      <c r="C11" s="7">
        <v>0</v>
      </c>
      <c r="D11" s="7" t="str">
        <v/>
      </c>
      <c r="E11" s="7">
        <v>0</v>
      </c>
      <c r="F11" s="7" t="str">
        <v/>
      </c>
      <c r="G11" s="7">
        <v>0</v>
      </c>
      <c r="H11" s="7" t="str">
        <v/>
      </c>
      <c r="I11" s="7">
        <v>0</v>
      </c>
      <c r="J11" s="7">
        <v>530200</v>
      </c>
      <c r="K11" s="7">
        <v>530200</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SO</v>
      </c>
      <c r="C2" s="4" t="str">
        <v>Program Director and Associated Allocation</v>
      </c>
      <c r="D2" s="5">
        <v>510000</v>
      </c>
      <c r="E2" s="4" t="str" xml:space="preserve">
        <v xml:space="preserve">Program Director Office Operation Costs:
Program Director Costs - As provided by SO $280,571
Admin Support $35,000
Meetings and Workshop $60,000
Travel $80,000
Smaller consultancies $30,000
Supplies and expenditure $24,429</v>
      </c>
      <c r="F2" s="4">
        <v>3</v>
      </c>
      <c r="G2" s="4">
        <v>1</v>
      </c>
    </row>
    <row r="3" ht="45" customHeight="1">
      <c r="A3" s="4" t="str">
        <v>AOW00: Cross Cutting</v>
      </c>
      <c r="B3" s="4" t="str">
        <v>SO</v>
      </c>
      <c r="C3" s="4" t="str">
        <v>Operations</v>
      </c>
      <c r="D3" s="5">
        <v>0</v>
      </c>
      <c r="E3" s="4" t="str">
        <v/>
      </c>
      <c r="F3" s="4">
        <v>4</v>
      </c>
      <c r="G3" s="4">
        <v>4</v>
      </c>
    </row>
    <row r="4" ht="45" customHeight="1" xml:space="preserve">
      <c r="A4" s="4" t="str">
        <v>AOW00: Cross Cutting</v>
      </c>
      <c r="B4" s="4" t="str">
        <v>SO</v>
      </c>
      <c r="C4" s="4" t="str">
        <v>Discretionary funds</v>
      </c>
      <c r="D4" s="5">
        <v>0</v>
      </c>
      <c r="E4" s="4" t="str" xml:space="preserve">
        <v xml:space="preserve">
</v>
      </c>
      <c r="F4" s="4">
        <v>5</v>
      </c>
      <c r="G4" s="4">
        <v>7</v>
      </c>
    </row>
    <row r="5" ht="45" customHeight="1">
      <c r="A5" s="4" t="str">
        <v>AOW00: Cross Cutting</v>
      </c>
      <c r="B5" s="4" t="str">
        <v>SO</v>
      </c>
      <c r="C5" s="4" t="str">
        <v>PMU, CGIAR Program Finance Support and associated Allocation</v>
      </c>
      <c r="D5" s="5">
        <v>20200</v>
      </c>
      <c r="E5" s="4" t="str">
        <v>Program Finance Focal Point Start from 1 Apr 2026. Figure provided by SO.</v>
      </c>
      <c r="F5" s="4">
        <v>6</v>
      </c>
      <c r="G5" s="4">
        <v>2</v>
      </c>
    </row>
    <row r="6" ht="25" customHeight="1">
      <c r="C6" s="9" t="str">
        <v>Cross-cutting budget subtotal</v>
      </c>
      <c r="D6" s="9">
        <v>530200</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300771</v>
      </c>
      <c r="C2" s="5">
        <v>0</v>
      </c>
      <c r="D2" s="5">
        <v>0</v>
      </c>
      <c r="E2" s="5">
        <v>0</v>
      </c>
      <c r="F2" s="5">
        <v>0</v>
      </c>
      <c r="G2" s="5">
        <v>0</v>
      </c>
      <c r="H2" s="5">
        <v>0</v>
      </c>
      <c r="I2" s="5">
        <f>=SUM(B2:H2)</f>
        <v>0</v>
      </c>
    </row>
    <row r="3" ht="20" customHeight="1">
      <c r="A3" s="4" t="str">
        <v>Operations (supplies, consultants, travels, workshops, other)</v>
      </c>
      <c r="B3" s="5">
        <v>229429</v>
      </c>
      <c r="C3" s="5">
        <v>0</v>
      </c>
      <c r="D3" s="5">
        <v>0</v>
      </c>
      <c r="E3" s="5">
        <v>0</v>
      </c>
      <c r="F3" s="5">
        <v>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Kenya</v>
      </c>
      <c r="D2" s="5">
        <v>100</v>
      </c>
      <c r="E2" s="4">
        <v>25</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278</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