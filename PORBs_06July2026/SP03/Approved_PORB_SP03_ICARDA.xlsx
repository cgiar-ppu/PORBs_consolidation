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28210</v>
      </c>
      <c r="K4" s="5">
        <v>28210</v>
      </c>
      <c r="L4" s="5">
        <v>0</v>
      </c>
      <c r="M4" s="5">
        <v>0</v>
      </c>
      <c r="N4" s="4">
        <v>176</v>
      </c>
    </row>
    <row r="5" ht="20" customHeight="1">
      <c r="A5" s="4" t="str">
        <v>AOW01: Productivity+</v>
      </c>
      <c r="B5" s="5">
        <v>2</v>
      </c>
      <c r="C5" s="5">
        <v>215000</v>
      </c>
      <c r="D5" s="5">
        <v>14</v>
      </c>
      <c r="E5" s="5">
        <v>516305</v>
      </c>
      <c r="F5" s="5">
        <v>0</v>
      </c>
      <c r="G5" s="5">
        <v>0</v>
      </c>
      <c r="H5" s="5">
        <v>0</v>
      </c>
      <c r="I5" s="5">
        <v>0</v>
      </c>
      <c r="J5" s="5">
        <v>731305</v>
      </c>
      <c r="K5" s="5">
        <v>731305</v>
      </c>
      <c r="L5" s="5">
        <v>57500</v>
      </c>
      <c r="M5" s="5">
        <v>0</v>
      </c>
      <c r="N5" s="4">
        <v>175</v>
      </c>
    </row>
    <row r="6" ht="20" customHeight="1">
      <c r="A6" s="4" t="str">
        <v>AOW02: Climate and the Environment</v>
      </c>
      <c r="B6" s="5">
        <v>0</v>
      </c>
      <c r="C6" s="5">
        <v>0</v>
      </c>
      <c r="D6" s="5">
        <v>3</v>
      </c>
      <c r="E6" s="5">
        <v>48000</v>
      </c>
      <c r="F6" s="5">
        <v>0</v>
      </c>
      <c r="G6" s="5">
        <v>0</v>
      </c>
      <c r="H6" s="5">
        <v>0</v>
      </c>
      <c r="I6" s="5">
        <v>0</v>
      </c>
      <c r="J6" s="5">
        <v>48000</v>
      </c>
      <c r="K6" s="5">
        <v>48000</v>
      </c>
      <c r="L6" s="5">
        <v>0</v>
      </c>
      <c r="M6" s="5">
        <v>0</v>
      </c>
      <c r="N6" s="4">
        <v>173</v>
      </c>
    </row>
    <row r="7" ht="20" customHeight="1">
      <c r="A7" s="4" t="str">
        <v>AOW03: One Health</v>
      </c>
      <c r="B7" s="5">
        <v>0</v>
      </c>
      <c r="C7" s="5">
        <v>0</v>
      </c>
      <c r="D7" s="5">
        <v>1</v>
      </c>
      <c r="E7" s="5">
        <v>7150</v>
      </c>
      <c r="F7" s="5">
        <v>0</v>
      </c>
      <c r="G7" s="5">
        <v>0</v>
      </c>
      <c r="H7" s="5">
        <v>0</v>
      </c>
      <c r="I7" s="5">
        <v>0</v>
      </c>
      <c r="J7" s="5">
        <v>7150</v>
      </c>
      <c r="K7" s="5">
        <v>7150</v>
      </c>
      <c r="L7" s="5">
        <v>0</v>
      </c>
      <c r="M7" s="5">
        <v>0</v>
      </c>
      <c r="N7" s="4">
        <v>170</v>
      </c>
    </row>
    <row r="8" ht="20" customHeight="1">
      <c r="A8" s="4" t="str">
        <v>AOW04: Market Systems, Policy Solutions and Scaling</v>
      </c>
      <c r="B8" s="5">
        <v>0</v>
      </c>
      <c r="C8" s="5">
        <v>0</v>
      </c>
      <c r="D8" s="5">
        <v>1</v>
      </c>
      <c r="E8" s="5">
        <v>20000</v>
      </c>
      <c r="F8" s="5">
        <v>0</v>
      </c>
      <c r="G8" s="5">
        <v>0</v>
      </c>
      <c r="H8" s="5">
        <v>0</v>
      </c>
      <c r="I8" s="5">
        <v>0</v>
      </c>
      <c r="J8" s="5">
        <v>20000</v>
      </c>
      <c r="K8" s="5">
        <v>20000</v>
      </c>
      <c r="L8" s="5">
        <v>0</v>
      </c>
      <c r="M8" s="5">
        <v>0</v>
      </c>
      <c r="N8" s="4">
        <v>172</v>
      </c>
    </row>
    <row r="9" ht="20" customHeight="1">
      <c r="A9" s="4" t="str">
        <v>AOW05: Gender, Youth and Social Inclusion</v>
      </c>
      <c r="B9" s="5">
        <v>0</v>
      </c>
      <c r="C9" s="5">
        <v>0</v>
      </c>
      <c r="D9" s="5">
        <v>2</v>
      </c>
      <c r="E9" s="5">
        <v>60000</v>
      </c>
      <c r="F9" s="5">
        <v>0</v>
      </c>
      <c r="G9" s="5">
        <v>0</v>
      </c>
      <c r="H9" s="5">
        <v>0</v>
      </c>
      <c r="I9" s="5">
        <v>0</v>
      </c>
      <c r="J9" s="5">
        <v>60000</v>
      </c>
      <c r="K9" s="5">
        <v>60000</v>
      </c>
      <c r="L9" s="5">
        <v>7000</v>
      </c>
      <c r="M9" s="5">
        <v>0</v>
      </c>
      <c r="N9" s="4">
        <v>171</v>
      </c>
    </row>
    <row r="10" ht="20" customHeight="1">
      <c r="A10" s="4" t="str">
        <v>AOW06: Data and Digital Solutions</v>
      </c>
      <c r="B10" s="5">
        <v>0</v>
      </c>
      <c r="C10" s="5">
        <v>0</v>
      </c>
      <c r="D10" s="5">
        <v>1</v>
      </c>
      <c r="E10" s="5">
        <v>10197</v>
      </c>
      <c r="F10" s="5">
        <v>0</v>
      </c>
      <c r="G10" s="5">
        <v>0</v>
      </c>
      <c r="H10" s="5">
        <v>0</v>
      </c>
      <c r="I10" s="5">
        <v>0</v>
      </c>
      <c r="J10" s="5">
        <v>10197</v>
      </c>
      <c r="K10" s="5">
        <v>10197</v>
      </c>
      <c r="L10" s="5">
        <v>0</v>
      </c>
      <c r="M10" s="5">
        <v>0</v>
      </c>
      <c r="N10" s="4">
        <v>174</v>
      </c>
    </row>
    <row r="11" ht="25" customHeight="1">
      <c r="A11" s="6" t="str">
        <v>Total</v>
      </c>
      <c r="B11" s="7" t="str">
        <v/>
      </c>
      <c r="C11" s="7">
        <v>215000</v>
      </c>
      <c r="D11" s="7" t="str">
        <v/>
      </c>
      <c r="E11" s="7">
        <v>661652</v>
      </c>
      <c r="F11" s="7" t="str">
        <v/>
      </c>
      <c r="G11" s="7">
        <v>0</v>
      </c>
      <c r="H11" s="7" t="str">
        <v/>
      </c>
      <c r="I11" s="7">
        <v>0</v>
      </c>
      <c r="J11" s="7">
        <v>904862</v>
      </c>
      <c r="K11" s="7">
        <v>904862</v>
      </c>
      <c r="L11" s="7">
        <v>64500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8"/>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Productivity+</v>
      </c>
      <c r="B3" s="4" t="str">
        <v>ICARDA</v>
      </c>
      <c r="C3" s="4" t="str">
        <v>HLO 1.3 - Cost-efficient animal and aquatic species health and welfare innovations and inclusive delivery models</v>
      </c>
      <c r="D3" s="4" t="str">
        <v>Global - Productivity+: improved protocols for Contagious Bovine PleuroPneumonia (CBPP) and Contagious Caprine Pleuropneumonia (CCPP) vaccine quality control developed and shared with African Union Pan African Veterinary Vaccine Centre (AU-PANVAC) and manufacturers that produce these vaccines for Africa</v>
      </c>
      <c r="E3" s="4" t="str">
        <v>Number of innovations (innovation development)</v>
      </c>
      <c r="F3" s="4" t="str">
        <v>Kenya</v>
      </c>
      <c r="G3" s="5">
        <v>1</v>
      </c>
      <c r="H3" s="5">
        <v>0</v>
      </c>
      <c r="I3" s="4" t="str">
        <v/>
      </c>
      <c r="J3" s="4">
        <v>5116</v>
      </c>
    </row>
    <row r="4" ht="50" customHeight="1">
      <c r="B4" s="4" t="str">
        <v>ICARDA</v>
      </c>
      <c r="D4" s="4" t="str">
        <v>Mali - small ruminants: policy brief on improved delivery of peste des petits ruminant thermotolerant vaccine</v>
      </c>
      <c r="E4" s="4" t="str">
        <v>Number of knowledge products</v>
      </c>
      <c r="F4" s="4" t="str">
        <v>Mali</v>
      </c>
      <c r="G4" s="5">
        <v>1</v>
      </c>
      <c r="H4" s="5">
        <v>0</v>
      </c>
      <c r="I4" s="4" t="str">
        <v/>
      </c>
      <c r="J4" s="4">
        <v>5121</v>
      </c>
    </row>
    <row r="5" ht="50" customHeight="1">
      <c r="A5" s="4" t="str">
        <v>AOW01: Productivity+</v>
      </c>
      <c r="B5" s="4" t="str">
        <v>ICARDA</v>
      </c>
      <c r="C5" s="4" t="str">
        <v>HLO 1.5  - Inclusive approaches, tools and capacity sharing to support animal and aquatic food producers to adopt combinations of innovations</v>
      </c>
      <c r="D5" s="4" t="str">
        <v>Ethiopia - small ruminants: SmaRT Pack in Ethiopia -Knowledge products on the implementation of SmartPack (a bundled package of productivity enhancing innovations) in sheep and goats in Ethiopia</v>
      </c>
      <c r="E5" s="4" t="str">
        <v>Number of knowledge products</v>
      </c>
      <c r="F5" s="4" t="str">
        <v>Ethiopia</v>
      </c>
      <c r="G5" s="5">
        <v>4</v>
      </c>
      <c r="H5" s="5">
        <v>226305</v>
      </c>
      <c r="I5" s="4" t="str">
        <v>Estimate for staff and operational costs and collaborator funds required for the planned activities</v>
      </c>
      <c r="J5" s="4">
        <v>5128</v>
      </c>
    </row>
    <row r="6" ht="50" customHeight="1">
      <c r="B6" s="4" t="str">
        <v>ICARDA</v>
      </c>
      <c r="D6" s="4" t="str">
        <v>Ethiopia - small ruminants:  report documenting commercialization model for the Ethiopian small ruminants integrating community-based breeding programs, production units, women- and youth-led fattening enterprises, digital data management, and market linkages</v>
      </c>
      <c r="E6" s="4" t="str">
        <v>Number of knowledge products</v>
      </c>
      <c r="F6" s="4" t="str">
        <v>Ethiopia</v>
      </c>
      <c r="G6" s="5">
        <v>3</v>
      </c>
      <c r="H6" s="5">
        <v>75000</v>
      </c>
      <c r="I6" s="4" t="str">
        <v>Estimate for staff and operational costs and collaborator funds required for the planned activities</v>
      </c>
      <c r="J6" s="4">
        <v>5129</v>
      </c>
    </row>
    <row r="7" ht="50" customHeight="1">
      <c r="B7" s="4" t="str">
        <v>ICARDA</v>
      </c>
      <c r="D7" s="4" t="str">
        <v>Ethiopia - small ruminants: commercialization model for the Ethiopian small ruminants integrating community-based breeding programs, production units, women- and youth-led fattening enterprises, digital data management, and market linkages</v>
      </c>
      <c r="E7" s="4" t="str">
        <v>Number of innovations (innovation development)</v>
      </c>
      <c r="F7" s="4" t="str">
        <v>Ethiopia</v>
      </c>
      <c r="G7" s="5">
        <v>1</v>
      </c>
      <c r="H7" s="5">
        <v>175000</v>
      </c>
      <c r="I7" s="4" t="str">
        <v>Estimate for staff and operational costs and collaborator funds required for the planned activities</v>
      </c>
      <c r="J7" s="4">
        <v>5132</v>
      </c>
    </row>
    <row r="8" ht="50" customHeight="1" xml:space="preserve">
      <c r="B8" s="4" t="str">
        <v>ICARDA</v>
      </c>
      <c r="D8" s="4" t="str" xml:space="preserve">
        <v xml:space="preserve">Ethiopia - small ruminants: implement and scale the SmaRT Pack innovation in 20 additional Community-Based Breeding Programs in Ethiopia
</v>
      </c>
      <c r="E8" s="4" t="str">
        <v>Number of knowledge products</v>
      </c>
      <c r="F8" s="4" t="str">
        <v>Ethiopia</v>
      </c>
      <c r="G8" s="5">
        <v>1</v>
      </c>
      <c r="H8" s="5">
        <v>0</v>
      </c>
      <c r="I8" s="4" t="str">
        <v/>
      </c>
      <c r="J8" s="4">
        <v>7641</v>
      </c>
    </row>
    <row r="9" ht="50" customHeight="1" xml:space="preserve">
      <c r="B9" s="4" t="str">
        <v>ICARDA</v>
      </c>
      <c r="D9" s="4" t="str" xml:space="preserve">
        <v xml:space="preserve">Ethiopia - small ruminants:  commercialization model for integrating community-based breeding programs, production units, women- and youth-led fattening enterprises, digital data management, and market linkages
</v>
      </c>
      <c r="E9" s="4" t="str">
        <v>Number of innovations (innovation development)</v>
      </c>
      <c r="F9" s="4" t="str">
        <v>Ethiopia</v>
      </c>
      <c r="G9" s="5">
        <v>1</v>
      </c>
      <c r="H9" s="5">
        <v>0</v>
      </c>
      <c r="I9" s="4" t="str">
        <v/>
      </c>
      <c r="J9" s="4">
        <v>7644</v>
      </c>
    </row>
    <row r="10" ht="50" customHeight="1">
      <c r="A10" s="4" t="str">
        <v>AOW01: Productivity+</v>
      </c>
      <c r="B10" s="4" t="str">
        <v>ICARDA</v>
      </c>
      <c r="C10" s="4" t="str">
        <v>HLO 1.1 - Sustainable breeding and conservation programs and inclusive delivery models</v>
      </c>
      <c r="D10" s="4" t="str">
        <v>Mali - small ruminants: knowledge products related to sheep and goat productivity  improvement in Mali, though genetic improvement and optimised feeding</v>
      </c>
      <c r="E10" s="4" t="str">
        <v>Number of knowledge products</v>
      </c>
      <c r="F10" s="4" t="str">
        <v>Mali</v>
      </c>
      <c r="G10" s="5">
        <v>3</v>
      </c>
      <c r="H10" s="5">
        <v>35000</v>
      </c>
      <c r="I10" s="4" t="str">
        <v>Estimate for staff and operational costs and collaborator funds required for the planned activities</v>
      </c>
      <c r="J10" s="4">
        <v>5149</v>
      </c>
    </row>
    <row r="11" ht="50" customHeight="1">
      <c r="B11" s="4" t="str">
        <v>ICARDA</v>
      </c>
      <c r="D11" s="4" t="str">
        <v>Mali - small ruminants: Establish a gender- and youth-inclusive breeding program for sheep and goats, serving as an entry point for integrated innovations in feed, health, and reproduction</v>
      </c>
      <c r="E11" s="4" t="str">
        <v>Number of knowledge products</v>
      </c>
      <c r="F11" s="4" t="str">
        <v>Mali</v>
      </c>
      <c r="G11" s="5">
        <v>1</v>
      </c>
      <c r="H11" s="5">
        <v>125000</v>
      </c>
      <c r="I11" s="4" t="str">
        <v>Estimate for staff and operational costs and collaborator funds required for the planned activities</v>
      </c>
      <c r="J11" s="4">
        <v>5150</v>
      </c>
    </row>
    <row r="12" ht="50" customHeight="1">
      <c r="B12" s="4" t="str">
        <v>ICARDA</v>
      </c>
      <c r="D12" s="4" t="str">
        <v>Ethiopia - small ruminants: framework for genomic based selection in selected Ethiopia community based breeding programs</v>
      </c>
      <c r="E12" s="4" t="str">
        <v>Number of knowledge products</v>
      </c>
      <c r="F12" s="4" t="str">
        <v>Ethiopia</v>
      </c>
      <c r="G12" s="5">
        <v>1</v>
      </c>
      <c r="H12" s="5">
        <v>25000</v>
      </c>
      <c r="I12" s="4" t="str">
        <v>Estimate for staff and operational costs required for the planned activities</v>
      </c>
      <c r="J12" s="4">
        <v>7580</v>
      </c>
    </row>
    <row r="13" ht="50" customHeight="1" xml:space="preserve">
      <c r="B13" s="4" t="str">
        <v>ICARDA</v>
      </c>
      <c r="D13" s="4" t="str" xml:space="preserve">
        <v xml:space="preserve">Nepal - dairy buffalo: Innovative practices to address post ovarian cyclicity in buffalo leading to improved fertility
</v>
      </c>
      <c r="E13" s="4" t="str">
        <v>Number of innovations (innovation development)</v>
      </c>
      <c r="F13" s="4" t="str">
        <v>Nepal</v>
      </c>
      <c r="G13" s="5">
        <v>1</v>
      </c>
      <c r="H13" s="5">
        <v>40000</v>
      </c>
      <c r="I13" s="4" t="str">
        <v>Estimate for staff and operational costs required for the planned activities</v>
      </c>
      <c r="J13" s="4">
        <v>7678</v>
      </c>
    </row>
    <row r="14" ht="50" customHeight="1">
      <c r="A14" s="4" t="str">
        <v>AOW01: Productivity+</v>
      </c>
      <c r="B14" s="4" t="str">
        <v>ICARDA</v>
      </c>
      <c r="C14" s="4" t="str">
        <v>HLO 1.2 - Cost-efficient animal and aquatic species feed and forage innovations and inclusive delivery models</v>
      </c>
      <c r="D14" s="4" t="str">
        <v>Ethiopia - small ruminants:  functional feed mechanization businesses integrated in community based breeding programs sites in Ethiopia</v>
      </c>
      <c r="E14" s="4" t="str">
        <v>Number of knowledge products</v>
      </c>
      <c r="F14" s="4" t="str">
        <v>Ethiopia</v>
      </c>
      <c r="G14" s="5">
        <v>1</v>
      </c>
      <c r="H14" s="5">
        <v>20000</v>
      </c>
      <c r="I14" s="4" t="str">
        <v>Estimate for staff and operational costs required for the planned activities</v>
      </c>
      <c r="J14" s="4">
        <v>7603</v>
      </c>
    </row>
    <row r="15" ht="50" customHeight="1">
      <c r="B15" s="4" t="str">
        <v>ICARDA</v>
      </c>
      <c r="D15" s="4" t="str">
        <v>Mali - small ruminants:  feed pellets-based diets used by small ruminant producers in Mali</v>
      </c>
      <c r="E15" s="4" t="str">
        <v>Number of knowledge products</v>
      </c>
      <c r="F15" s="4" t="str">
        <v>Mali</v>
      </c>
      <c r="G15" s="5">
        <v>1</v>
      </c>
      <c r="H15" s="5">
        <v>10000</v>
      </c>
      <c r="I15" s="4" t="str">
        <v>Estimate for staff and operational costs required for the planned activities</v>
      </c>
      <c r="J15" s="4">
        <v>7604</v>
      </c>
    </row>
    <row r="16" ht="25" customHeight="1">
      <c r="C16" s="9" t="str">
        <v>HLO budget subtotal</v>
      </c>
      <c r="H16" s="9">
        <v>731305</v>
      </c>
      <c r="J16" s="9" t="str">
        <v/>
      </c>
    </row>
    <row r="17" ht="50" customHeight="1">
      <c r="A17" s="8" t="str">
        <v>AOW02: Climate and the Environment</v>
      </c>
      <c r="B17" s="4" t="str">
        <v>ICARDA</v>
      </c>
      <c r="C17" s="4" t="str">
        <v xml:space="preserve">HLO 2.1 - Evidence of the benefits and impacts on climate and the environment </v>
      </c>
      <c r="D17" s="4" t="str">
        <v>GLOBAL- Climate and Environment: Analysis of stakeholders' narratives about livestock, with a focus on climate change, in the international climate agenda</v>
      </c>
      <c r="E17" s="4" t="str">
        <v>Number of knowledge products</v>
      </c>
      <c r="F17" s="4" t="str">
        <v>Colombia, Ethiopia, The Socialist Republic of Viet Nam</v>
      </c>
      <c r="G17" s="5">
        <v>3</v>
      </c>
      <c r="H17" s="5">
        <v>48000</v>
      </c>
      <c r="I17" s="4" t="str">
        <v>Estimate for staff and operational costs required for the planned activities</v>
      </c>
      <c r="J17" s="4">
        <v>7569</v>
      </c>
    </row>
    <row r="18" ht="50" customHeight="1">
      <c r="B18" s="4" t="str">
        <v>ICARDA</v>
      </c>
      <c r="D18" s="4" t="str">
        <v xml:space="preserve">GLOBAL- Climate and Environment: economic assessment of climate-smart livestock interventions through Cost of Inaction (CoI) analysis in Ethiopia </v>
      </c>
      <c r="E18" s="4" t="str">
        <v>Number of knowledge products</v>
      </c>
      <c r="F18" s="4" t="str">
        <v>Colombia, Ethiopia</v>
      </c>
      <c r="G18" s="5">
        <v>2</v>
      </c>
      <c r="H18" s="5">
        <v>0</v>
      </c>
      <c r="I18" s="4" t="str">
        <v/>
      </c>
      <c r="J18" s="4">
        <v>7837</v>
      </c>
    </row>
    <row r="19" ht="25" customHeight="1">
      <c r="C19" s="9" t="str">
        <v>HLO budget subtotal</v>
      </c>
      <c r="H19" s="9">
        <v>48000</v>
      </c>
      <c r="J19" s="9" t="str">
        <v/>
      </c>
    </row>
    <row r="20" ht="50" customHeight="1">
      <c r="A20" s="8" t="str">
        <v>AOW03: One Health</v>
      </c>
      <c r="B20" s="4" t="str">
        <v>ICARDA</v>
      </c>
      <c r="C20" s="4" t="str">
        <v xml:space="preserve">HLO 3.3 - Targeted innovations and incentives to reduce antimicrobial use and mitigate antimicrobial risks </v>
      </c>
      <c r="D20" s="4" t="str">
        <v>Global - One Health: analysis linking cellular insights, predictive biomarkers, and population immune diversity to understand gastrointestinal resistance in African sheep (Blue Sky Project)</v>
      </c>
      <c r="E20" s="4" t="str">
        <v>Number of knowledge products</v>
      </c>
      <c r="F20" s="4" t="str">
        <v>Ethiopia, Ghana, Kenya</v>
      </c>
      <c r="G20" s="5">
        <v>1</v>
      </c>
      <c r="H20" s="5">
        <v>7150</v>
      </c>
      <c r="I20" s="4" t="str">
        <v>Operational Support to Bluesky led by ILRI</v>
      </c>
      <c r="J20" s="4">
        <v>7608</v>
      </c>
    </row>
    <row r="21" ht="25" customHeight="1">
      <c r="C21" s="9" t="str">
        <v>HLO budget subtotal</v>
      </c>
      <c r="H21" s="9">
        <v>7150</v>
      </c>
      <c r="J21" s="9" t="str">
        <v/>
      </c>
    </row>
    <row r="22" ht="50" customHeight="1">
      <c r="A22" s="8" t="str">
        <v>AOW04: Market Systems, Policy Solutions and Scaling</v>
      </c>
      <c r="B22" s="4" t="str">
        <v>ICARDA</v>
      </c>
      <c r="C22" s="4" t="str">
        <v xml:space="preserve">HLO 4.3 - Institutional &amp; behavioral models for enhanced use of innovations and improved governance </v>
      </c>
      <c r="D22" s="4" t="str">
        <v>Global - AoW4 learnings: Learning brief (joint) - Learning from impact assessment studies</v>
      </c>
      <c r="E22" s="4" t="str">
        <v>Number of knowledge products</v>
      </c>
      <c r="F22" s="4" t="str">
        <v>Ethiopia</v>
      </c>
      <c r="G22" s="5">
        <v>1</v>
      </c>
      <c r="H22" s="5">
        <v>20000</v>
      </c>
      <c r="I22" s="4" t="str">
        <v>Estimate for staff and operational costs required for the planned activities</v>
      </c>
      <c r="J22" s="4">
        <v>7427</v>
      </c>
    </row>
    <row r="23" ht="25" customHeight="1">
      <c r="C23" s="9" t="str">
        <v>HLO budget subtotal</v>
      </c>
      <c r="H23" s="9">
        <v>20000</v>
      </c>
      <c r="J23" s="9" t="str">
        <v/>
      </c>
    </row>
    <row r="24" ht="50" customHeight="1">
      <c r="A24" s="8" t="str">
        <v>AOW05: Gender, Youth and Social Inclusion</v>
      </c>
      <c r="B24" s="4" t="str">
        <v>ICARDA</v>
      </c>
      <c r="C24" s="4" t="str">
        <v>HLO 5.2 -  Tested interventions and theoretical advances on women &amp; youth empowerment and for equitable norms and policies</v>
      </c>
      <c r="D24" s="4" t="str">
        <v>Ethiopia - small ruminants: A brief documenting gender transformative approaches to address gender and youth norms in small ruminant business</v>
      </c>
      <c r="E24" s="4" t="str">
        <v>Number of knowledge products</v>
      </c>
      <c r="F24" s="4" t="str">
        <v>Ethiopia</v>
      </c>
      <c r="G24" s="5">
        <v>1</v>
      </c>
      <c r="H24" s="5">
        <v>30000</v>
      </c>
      <c r="I24" s="4" t="str">
        <v>Estimate for staff and operational costs and collaborator funds required for the planned activities</v>
      </c>
      <c r="J24" s="4">
        <v>7457</v>
      </c>
    </row>
    <row r="25" ht="50" customHeight="1">
      <c r="B25" s="4" t="str">
        <v>ICARDA</v>
      </c>
      <c r="D25" s="4" t="str">
        <v>Mali - small ruminant: Documentation of enhanced access to finances for young women involved in CBBP</v>
      </c>
      <c r="E25" s="4" t="str">
        <v>Number of knowledge products</v>
      </c>
      <c r="F25" s="4" t="str">
        <v>Mali</v>
      </c>
      <c r="G25" s="5">
        <v>1</v>
      </c>
      <c r="H25" s="5">
        <v>30000</v>
      </c>
      <c r="I25" s="4" t="str">
        <v>Estimate for staff and operational costs required for the planned activities</v>
      </c>
      <c r="J25" s="4">
        <v>7459</v>
      </c>
    </row>
    <row r="26" ht="25" customHeight="1">
      <c r="C26" s="9" t="str">
        <v>HLO budget subtotal</v>
      </c>
      <c r="H26" s="9">
        <v>60000</v>
      </c>
      <c r="J26" s="9" t="str">
        <v/>
      </c>
    </row>
    <row r="27" ht="50" customHeight="1" xml:space="preserve">
      <c r="A27" s="8" t="str">
        <v>AOW06: Data and Digital Solutions</v>
      </c>
      <c r="B27" s="4" t="str">
        <v>ICARDA</v>
      </c>
      <c r="C27" s="4" t="str">
        <v>HLO 6.2 - Co-develop and test exploratory digital solutions, AI-based analytics, and decision-support systems</v>
      </c>
      <c r="D27" s="4" t="str">
        <v>East Africa- livestock health and resilience: Leveraging AI-Driven Predictive Intelligence to Enhance Dryland Livestock Resilience</v>
      </c>
      <c r="E27" s="4" t="str">
        <v>Number of knowledge products</v>
      </c>
      <c r="F27" s="4" t="str">
        <v>Ethiopia</v>
      </c>
      <c r="G27" s="5">
        <v>1</v>
      </c>
      <c r="H27" s="5">
        <v>10197</v>
      </c>
      <c r="I27" s="4" t="str" xml:space="preserve">
        <v xml:space="preserve">Estimate of staff time (and indirect rate) required to contribute to the HLO6.2
</v>
      </c>
      <c r="J27" s="4">
        <v>7530</v>
      </c>
    </row>
    <row r="28" ht="25" customHeight="1">
      <c r="C28" s="9" t="str">
        <v>HLO budget subtotal</v>
      </c>
      <c r="H28" s="9">
        <v>10197</v>
      </c>
      <c r="J28" s="9" t="str">
        <v/>
      </c>
    </row>
  </sheetData>
  <mergeCells count="24">
    <mergeCell ref="A1:A2"/>
    <mergeCell ref="B1:B2"/>
    <mergeCell ref="C1:C2"/>
    <mergeCell ref="D1:H1"/>
    <mergeCell ref="I1:I2"/>
    <mergeCell ref="J1:J2"/>
    <mergeCell ref="C3:C4"/>
    <mergeCell ref="C5:C9"/>
    <mergeCell ref="C10:C13"/>
    <mergeCell ref="C14:C15"/>
    <mergeCell ref="C16:G16"/>
    <mergeCell ref="A3:A16"/>
    <mergeCell ref="C17:C18"/>
    <mergeCell ref="C19:G19"/>
    <mergeCell ref="A17:A19"/>
    <mergeCell ref="C21:G21"/>
    <mergeCell ref="A20:A21"/>
    <mergeCell ref="C23:G23"/>
    <mergeCell ref="A22:A23"/>
    <mergeCell ref="C24:C25"/>
    <mergeCell ref="C26:G26"/>
    <mergeCell ref="A24:A26"/>
    <mergeCell ref="C28:G28"/>
    <mergeCell ref="A27:A28"/>
  </mergeCells>
  <ignoredErrors>
    <ignoredError numberStoredAsText="1" sqref="A1:J28"/>
  </ignoredErrors>
</worksheet>
</file>

<file path=xl/worksheets/sheet3.xml><?xml version="1.0" encoding="utf-8"?>
<worksheet xmlns="http://schemas.openxmlformats.org/spreadsheetml/2006/main" xmlns:r="http://schemas.openxmlformats.org/officeDocument/2006/relationships">
  <dimension ref="A1:G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Productivity+</v>
      </c>
      <c r="B2" s="4" t="str">
        <v>Institut d'Economie Rurale</v>
      </c>
      <c r="C2" s="4" t="str">
        <v>ICARDA</v>
      </c>
      <c r="D2" s="4" t="str">
        <v>Mali</v>
      </c>
      <c r="E2" s="5">
        <v>8000</v>
      </c>
      <c r="F2" s="4" t="str">
        <v xml:space="preserve">National research institute responsible for following on SmaRT Pack implementation </v>
      </c>
      <c r="G2" s="4">
        <v>48</v>
      </c>
    </row>
    <row r="3" ht="50" customHeight="1">
      <c r="A3" s="4" t="str">
        <v>AOW01: Productivity+</v>
      </c>
      <c r="B3" s="4" t="str">
        <v>Tigray Agricultural Research Institute</v>
      </c>
      <c r="C3" s="4" t="str">
        <v>ICARDA</v>
      </c>
      <c r="D3" s="4" t="str">
        <v>Ethiopia</v>
      </c>
      <c r="E3" s="5">
        <v>4000</v>
      </c>
      <c r="F3" s="4" t="str">
        <v>Regional research center responsible for field implementation of Abergelle goat value chain site (Tigray site)</v>
      </c>
      <c r="G3" s="4">
        <v>51</v>
      </c>
    </row>
    <row r="4" ht="50" customHeight="1">
      <c r="A4" s="4" t="str">
        <v>AOW01: Productivity+</v>
      </c>
      <c r="B4" s="4" t="str">
        <v>Amhara Regional Agricultural Research Institute</v>
      </c>
      <c r="C4" s="4" t="str">
        <v>ICARDA</v>
      </c>
      <c r="D4" s="4" t="str">
        <v>Ethiopia</v>
      </c>
      <c r="E4" s="5">
        <v>12000</v>
      </c>
      <c r="F4" s="4" t="str">
        <v xml:space="preserve">Regional research center responsible for field implementation of Menz sheep and Abergelle goat (Amhara site) value chain sites </v>
      </c>
      <c r="G4" s="4">
        <v>52</v>
      </c>
    </row>
    <row r="5" ht="50" customHeight="1">
      <c r="A5" s="4" t="str">
        <v>AOW01: Productivity+</v>
      </c>
      <c r="B5" s="4" t="str">
        <v>South Ethiopia Agricultural Research Institute</v>
      </c>
      <c r="C5" s="4" t="str">
        <v>ICARDA</v>
      </c>
      <c r="D5" s="4" t="str">
        <v>Ethiopia</v>
      </c>
      <c r="E5" s="5">
        <v>2000</v>
      </c>
      <c r="F5" s="4" t="str">
        <v xml:space="preserve">Regional research center responsible for field implementation of the commercialization framework in Konso goatvalue chain site </v>
      </c>
      <c r="G5" s="4">
        <v>53</v>
      </c>
    </row>
    <row r="6" ht="50" customHeight="1">
      <c r="A6" s="4" t="str">
        <v>AOW01: Productivity+</v>
      </c>
      <c r="B6" s="4" t="str">
        <v xml:space="preserve">Central Ethiopia Agricultural Research Institute </v>
      </c>
      <c r="C6" s="4" t="str">
        <v>ICARDA</v>
      </c>
      <c r="D6" s="4" t="str">
        <v>Ethiopia</v>
      </c>
      <c r="E6" s="5">
        <v>3500</v>
      </c>
      <c r="F6" s="4" t="str">
        <v xml:space="preserve">Regional research center responsible for field implementation of the commercialization framework in Doyogena sheep value chain site </v>
      </c>
      <c r="G6" s="4">
        <v>54</v>
      </c>
    </row>
    <row r="7" ht="50" customHeight="1">
      <c r="A7" s="4" t="str">
        <v>AOW01: Productivity+</v>
      </c>
      <c r="B7" s="4" t="str">
        <v>Oromia Agricultural Research Institute</v>
      </c>
      <c r="C7" s="4" t="str">
        <v>ICARDA</v>
      </c>
      <c r="D7" s="4" t="str">
        <v>Ethiopia</v>
      </c>
      <c r="E7" s="5">
        <v>4000</v>
      </c>
      <c r="F7" s="4" t="str">
        <v xml:space="preserve">Regional research center responsible for field implementation of Horro sheep value chain site </v>
      </c>
      <c r="G7" s="4">
        <v>56</v>
      </c>
    </row>
    <row r="8" ht="50" customHeight="1">
      <c r="A8" s="4" t="str">
        <v>AOW01: Productivity+</v>
      </c>
      <c r="B8" s="4" t="str">
        <v>Central Ethiopia Agricultural Research Institute</v>
      </c>
      <c r="C8" s="4" t="str">
        <v>ICARDA</v>
      </c>
      <c r="D8" s="4" t="str">
        <v>Ethiopia</v>
      </c>
      <c r="E8" s="5">
        <v>3500</v>
      </c>
      <c r="F8" s="4" t="str">
        <v xml:space="preserve">Regional research center responsible for field implementation of SmaRT pack in Doyogena sheep value chain site </v>
      </c>
      <c r="G8" s="4">
        <v>57</v>
      </c>
    </row>
    <row r="9" ht="50" customHeight="1">
      <c r="A9" s="4" t="str">
        <v>AOW01: Productivity+</v>
      </c>
      <c r="B9" s="4" t="str">
        <v>South Ethiopia Agricultural Research Institute</v>
      </c>
      <c r="C9" s="4" t="str">
        <v>ICARDA</v>
      </c>
      <c r="D9" s="4" t="str">
        <v>Ethiopia</v>
      </c>
      <c r="E9" s="5">
        <v>2000</v>
      </c>
      <c r="F9" s="4" t="str">
        <v xml:space="preserve">Regional research center responsible for field implementation of SmaRT pack in Konso goat value chain site </v>
      </c>
      <c r="G9" s="4">
        <v>58</v>
      </c>
    </row>
    <row r="10" ht="50" customHeight="1">
      <c r="A10" s="4" t="str">
        <v>AOW01: Productivity+</v>
      </c>
      <c r="B10" s="4" t="str">
        <v>Southwest Ethiopia Agriculture Research Institute</v>
      </c>
      <c r="C10" s="4" t="str">
        <v>ICARDA</v>
      </c>
      <c r="D10" s="4" t="str">
        <v>Ethiopia</v>
      </c>
      <c r="E10" s="5">
        <v>10500</v>
      </c>
      <c r="F10" s="4" t="str">
        <v xml:space="preserve">Regional research center responsible for field implementation of Bonga sheep value chain site </v>
      </c>
      <c r="G10" s="4">
        <v>59</v>
      </c>
    </row>
    <row r="11" ht="50" customHeight="1">
      <c r="A11" s="4" t="str">
        <v>AOW01: Productivity+</v>
      </c>
      <c r="B11" s="4" t="str">
        <v xml:space="preserve">Centre National d’Insémination Artificielle Animale du Mali </v>
      </c>
      <c r="C11" s="4" t="str">
        <v>ICARDA</v>
      </c>
      <c r="D11" s="4" t="str">
        <v>Mali</v>
      </c>
      <c r="E11" s="5">
        <v>8000</v>
      </c>
      <c r="F11" s="4" t="str">
        <v xml:space="preserve">National research center responsible for following on small ruminant artificial insemination programs </v>
      </c>
      <c r="G11" s="4">
        <v>68</v>
      </c>
    </row>
    <row r="12" ht="25" customHeight="1">
      <c r="B12" s="9" t="str">
        <v>Contracted partners subtotal</v>
      </c>
      <c r="E12" s="9">
        <v>57500</v>
      </c>
      <c r="F12" s="9" t="str">
        <v/>
      </c>
      <c r="G12" s="9" t="str">
        <v/>
      </c>
    </row>
    <row r="13" ht="50" customHeight="1">
      <c r="A13" s="8" t="str">
        <v>AOW05: Gender, Youth and Social Inclusion</v>
      </c>
      <c r="B13" s="4" t="str">
        <v>Women Empowerment Action</v>
      </c>
      <c r="C13" s="4" t="str">
        <v>ICARDA</v>
      </c>
      <c r="D13" s="4" t="str">
        <v>Ethiopia</v>
      </c>
      <c r="E13" s="5">
        <v>7000</v>
      </c>
      <c r="F13" s="4" t="str">
        <v xml:space="preserve">ICARDA has successfully worked with WE-Action in Ethiopia before; their role was to implement GTA directly with the communities </v>
      </c>
      <c r="G13" s="4">
        <v>38</v>
      </c>
    </row>
    <row r="14" ht="25" customHeight="1">
      <c r="B14" s="9" t="str">
        <v>Contracted partners subtotal</v>
      </c>
      <c r="E14" s="9">
        <v>7000</v>
      </c>
      <c r="F14" s="9" t="str">
        <v/>
      </c>
      <c r="G14" s="9" t="str">
        <v/>
      </c>
    </row>
  </sheetData>
  <mergeCells count="4">
    <mergeCell ref="B12:D12"/>
    <mergeCell ref="A2:A12"/>
    <mergeCell ref="B14:D14"/>
    <mergeCell ref="A13:A14"/>
  </mergeCells>
  <ignoredErrors>
    <ignoredError numberStoredAsText="1" sqref="A1:G14"/>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D-100828-BMGF-Feedstock4Livestock</v>
      </c>
      <c r="C2" s="4" t="str">
        <v xml:space="preserve">PO1 - Animal and aquatic food producers, including women, youth and marginalized groups adopting combinations of innovations </v>
      </c>
      <c r="D2" s="5">
        <v>0</v>
      </c>
      <c r="E2" s="4" t="str">
        <v/>
      </c>
      <c r="F2" s="4">
        <v>1008</v>
      </c>
    </row>
    <row r="3" ht="60" customHeight="1">
      <c r="A3" s="4" t="str">
        <v>ICARDA</v>
      </c>
      <c r="B3" s="4" t="str">
        <v>D-200371-Development and Scaling of Introduced Plant Species</v>
      </c>
      <c r="C3" s="4" t="str">
        <v>PO3 - People within animal and aquatic food systems adopt innovations for increased social, economic and environmental resilience</v>
      </c>
      <c r="D3" s="5">
        <v>0</v>
      </c>
      <c r="E3" s="4" t="str">
        <v/>
      </c>
      <c r="F3" s="4">
        <v>1006</v>
      </c>
    </row>
    <row r="4" ht="25" customHeight="1">
      <c r="B4" s="9" t="str">
        <v>W3/Bilateral budget subtotal</v>
      </c>
      <c r="D4" s="9">
        <v>0</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ICARDA</v>
      </c>
      <c r="C2" s="4" t="str">
        <v>Methodology for improved assessment of innovation users, and application to one SAAF animal system innovation</v>
      </c>
      <c r="D2" s="4" t="str">
        <v>PO1 - Animal and aquatic food producers, including women, youth and marginalized groups adopting combinations of innovations</v>
      </c>
      <c r="E2" s="4" t="str">
        <v>N/A</v>
      </c>
      <c r="F2" s="5">
        <v>0</v>
      </c>
      <c r="G2" s="4" t="str">
        <v/>
      </c>
      <c r="H2" s="4">
        <v>572</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ICARDA</v>
      </c>
      <c r="C2" s="4" t="str">
        <v>Communication/Knowledge management</v>
      </c>
      <c r="D2" s="5">
        <v>8000</v>
      </c>
      <c r="E2" s="4" t="str">
        <v>Allocated Communication Staff Time</v>
      </c>
      <c r="F2" s="4">
        <v>27</v>
      </c>
      <c r="G2" s="4">
        <v>5</v>
      </c>
    </row>
    <row r="3" ht="45" customHeight="1">
      <c r="A3" s="4" t="str">
        <v>AOW00: Cross Cutting</v>
      </c>
      <c r="B3" s="4" t="str">
        <v>ICARDA</v>
      </c>
      <c r="C3" s="4" t="str">
        <v>Operations</v>
      </c>
      <c r="D3" s="5">
        <v>210</v>
      </c>
      <c r="E3" s="4" t="str">
        <v>Pulse and Reflect Workshop 17-19 Mar 2026 at Penang. ICRADA Center Delegate Airfare and related.</v>
      </c>
      <c r="F3" s="4">
        <v>29</v>
      </c>
      <c r="G3" s="4">
        <v>4</v>
      </c>
    </row>
    <row r="4" ht="45" customHeight="1" xml:space="preserve">
      <c r="A4" s="4" t="str">
        <v>AOW00: Cross Cutting</v>
      </c>
      <c r="B4" s="4" t="str">
        <v>ICARDA</v>
      </c>
      <c r="C4" s="4" t="str">
        <v>MELIA</v>
      </c>
      <c r="D4" s="5">
        <v>20000</v>
      </c>
      <c r="E4" s="4" t="str" xml:space="preserve">
        <v xml:space="preserve">MELIA staff time $4,900
MELIA Operation $51,100</v>
      </c>
      <c r="F4" s="4">
        <v>56</v>
      </c>
      <c r="G4" s="4">
        <v>6</v>
      </c>
    </row>
    <row r="5" ht="25" customHeight="1">
      <c r="C5" s="9" t="str">
        <v>Cross-cutting budget subtotal</v>
      </c>
      <c r="D5" s="9">
        <v>28210</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12900</v>
      </c>
      <c r="C2" s="5">
        <v>525485</v>
      </c>
      <c r="D2" s="5">
        <v>36412</v>
      </c>
      <c r="E2" s="5">
        <v>933</v>
      </c>
      <c r="F2" s="5">
        <v>7760</v>
      </c>
      <c r="G2" s="5">
        <v>23000</v>
      </c>
      <c r="H2" s="5">
        <v>10197</v>
      </c>
      <c r="I2" s="5">
        <f>=SUM(B2:H2)</f>
        <v>0</v>
      </c>
    </row>
    <row r="3" ht="20" customHeight="1">
      <c r="A3" s="4" t="str">
        <v>Operations (supplies, consultants, travels, workshops, other)</v>
      </c>
      <c r="B3" s="5">
        <v>15310</v>
      </c>
      <c r="C3" s="5">
        <v>148320</v>
      </c>
      <c r="D3" s="5">
        <v>11588</v>
      </c>
      <c r="E3" s="5">
        <v>6217</v>
      </c>
      <c r="F3" s="5">
        <v>12240</v>
      </c>
      <c r="G3" s="5">
        <v>30000</v>
      </c>
      <c r="H3" s="5">
        <v>0</v>
      </c>
      <c r="I3" s="5">
        <f>=SUM(B3:H3)</f>
        <v>0</v>
      </c>
    </row>
    <row r="4" ht="20" customHeight="1">
      <c r="A4" s="4" t="str">
        <v>Collaborators non-CGIAR centers</v>
      </c>
      <c r="B4" s="5">
        <v>0</v>
      </c>
      <c r="C4" s="5">
        <v>57500</v>
      </c>
      <c r="D4" s="5">
        <v>0</v>
      </c>
      <c r="E4" s="5">
        <v>0</v>
      </c>
      <c r="F4" s="5">
        <v>0</v>
      </c>
      <c r="G4" s="5">
        <v>7000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1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ICARDA</v>
      </c>
      <c r="C2" s="4" t="str">
        <v>Ethiopia</v>
      </c>
      <c r="D2" s="5">
        <v>50</v>
      </c>
      <c r="E2" s="4">
        <v>20</v>
      </c>
    </row>
    <row r="3" ht="45" customHeight="1">
      <c r="A3" s="4" t="str">
        <v>AOW00: Cross Cutting</v>
      </c>
      <c r="B3" s="4" t="str">
        <v>ICARDA</v>
      </c>
      <c r="C3" s="4" t="str">
        <v>Mali</v>
      </c>
      <c r="D3" s="5">
        <v>50</v>
      </c>
      <c r="E3" s="4">
        <v>718</v>
      </c>
    </row>
    <row r="4" ht="45" customHeight="1">
      <c r="A4" s="4" t="str">
        <v>AOW00: Cross Cutting</v>
      </c>
      <c r="B4" s="4" t="str">
        <v>ICARDA</v>
      </c>
      <c r="C4" s="4" t="str">
        <v>Nepal</v>
      </c>
      <c r="D4" s="5">
        <v>0</v>
      </c>
      <c r="E4" s="4">
        <v>719</v>
      </c>
    </row>
    <row r="5" ht="45" customHeight="1">
      <c r="A5" s="8" t="str">
        <v>AOW01: Productivity+</v>
      </c>
      <c r="B5" s="4" t="str">
        <v>ICARDA</v>
      </c>
      <c r="C5" s="4" t="str">
        <v>Ethiopia</v>
      </c>
      <c r="D5" s="5">
        <v>71</v>
      </c>
      <c r="E5" s="4">
        <v>721</v>
      </c>
    </row>
    <row r="6" ht="45" customHeight="1">
      <c r="A6" s="4" t="str">
        <v>AOW01: Productivity+</v>
      </c>
      <c r="B6" s="4" t="str">
        <v>ICARDA</v>
      </c>
      <c r="C6" s="4" t="str">
        <v>Kenya</v>
      </c>
      <c r="D6" s="5">
        <v>0</v>
      </c>
      <c r="E6" s="4">
        <v>722</v>
      </c>
    </row>
    <row r="7" ht="45" customHeight="1">
      <c r="A7" s="4" t="str">
        <v>AOW01: Productivity+</v>
      </c>
      <c r="B7" s="4" t="str">
        <v>ICARDA</v>
      </c>
      <c r="C7" s="4" t="str">
        <v>Mali</v>
      </c>
      <c r="D7" s="5">
        <v>23</v>
      </c>
      <c r="E7" s="4">
        <v>723</v>
      </c>
    </row>
    <row r="8" ht="45" customHeight="1">
      <c r="A8" s="4" t="str">
        <v>AOW01: Productivity+</v>
      </c>
      <c r="B8" s="4" t="str">
        <v>ICARDA</v>
      </c>
      <c r="C8" s="4" t="str">
        <v>Nepal</v>
      </c>
      <c r="D8" s="5">
        <v>6</v>
      </c>
      <c r="E8" s="4">
        <v>720</v>
      </c>
    </row>
    <row r="9" ht="45" customHeight="1">
      <c r="A9" s="8" t="str">
        <v>AOW02: Climate and the Environment</v>
      </c>
      <c r="B9" s="4" t="str">
        <v>ICARDA</v>
      </c>
      <c r="C9" s="4" t="str">
        <v>Ethiopia</v>
      </c>
      <c r="D9" s="5">
        <v>100</v>
      </c>
      <c r="E9" s="4">
        <v>334</v>
      </c>
    </row>
    <row r="10" ht="45" customHeight="1">
      <c r="A10" s="8" t="str">
        <v>AOW03: One Health</v>
      </c>
      <c r="B10" s="4" t="str">
        <v>ICARDA</v>
      </c>
      <c r="C10" s="4" t="str">
        <v>Ethiopia</v>
      </c>
      <c r="D10" s="5">
        <v>100</v>
      </c>
      <c r="E10" s="4">
        <v>961</v>
      </c>
    </row>
    <row r="11" ht="45" customHeight="1">
      <c r="A11" s="8" t="str">
        <v>AOW04: Market Systems, Policy Solutions and Scaling</v>
      </c>
      <c r="B11" s="4" t="str">
        <v>ICARDA</v>
      </c>
      <c r="C11" s="4" t="str">
        <v>Ethiopia</v>
      </c>
      <c r="D11" s="5">
        <v>100</v>
      </c>
      <c r="E11" s="4">
        <v>296</v>
      </c>
    </row>
    <row r="12" ht="45" customHeight="1">
      <c r="A12" s="8" t="str">
        <v>AOW05: Gender, Youth and Social Inclusion</v>
      </c>
      <c r="B12" s="4" t="str">
        <v>ICARDA</v>
      </c>
      <c r="C12" s="4" t="str">
        <v>Ethiopia</v>
      </c>
      <c r="D12" s="5">
        <v>50</v>
      </c>
      <c r="E12" s="4">
        <v>297</v>
      </c>
    </row>
    <row r="13" ht="45" customHeight="1">
      <c r="A13" s="4" t="str">
        <v>AOW05: Gender, Youth and Social Inclusion</v>
      </c>
      <c r="B13" s="4" t="str">
        <v>ICARDA</v>
      </c>
      <c r="C13" s="4" t="str">
        <v>Mali</v>
      </c>
      <c r="D13" s="5">
        <v>50</v>
      </c>
      <c r="E13" s="4">
        <v>298</v>
      </c>
    </row>
    <row r="14" ht="45" customHeight="1">
      <c r="A14" s="8" t="str">
        <v>AOW06: Data and Digital Solutions</v>
      </c>
      <c r="B14" s="4" t="str">
        <v>ICARDA</v>
      </c>
      <c r="C14" s="4" t="str">
        <v>Ethiopia</v>
      </c>
      <c r="D14" s="5">
        <v>100</v>
      </c>
      <c r="E14" s="4">
        <v>336</v>
      </c>
    </row>
  </sheetData>
  <mergeCells count="7">
    <mergeCell ref="A2:A4"/>
    <mergeCell ref="A5:A8"/>
    <mergeCell ref="A9"/>
    <mergeCell ref="A10"/>
    <mergeCell ref="A11"/>
    <mergeCell ref="A12:A13"/>
    <mergeCell ref="A14"/>
  </mergeCells>
  <ignoredErrors>
    <ignoredError numberStoredAsText="1" sqref="A1:E14"/>
  </ignoredErrors>
</worksheet>
</file>

<file path=xl/worksheets/sheet9.xml><?xml version="1.0" encoding="utf-8"?>
<worksheet xmlns="http://schemas.openxmlformats.org/spreadsheetml/2006/main" xmlns:r="http://schemas.openxmlformats.org/officeDocument/2006/relationships">
  <dimension ref="A1:F12"/>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ICARDA</v>
      </c>
      <c r="C2" s="4" t="str">
        <v>Ethiopia</v>
      </c>
      <c r="D2" s="4" t="str">
        <v>country</v>
      </c>
      <c r="E2" s="5">
        <v>100</v>
      </c>
      <c r="F2" s="4">
        <v>143</v>
      </c>
    </row>
    <row r="3" ht="45" customHeight="1">
      <c r="A3" s="8" t="str">
        <v>AOW01: Productivity+</v>
      </c>
      <c r="B3" s="4" t="str">
        <v>ICARDA</v>
      </c>
      <c r="C3" s="4" t="str">
        <v>Ethiopia</v>
      </c>
      <c r="D3" s="4" t="str">
        <v>country</v>
      </c>
      <c r="E3" s="5">
        <v>71</v>
      </c>
      <c r="F3" s="4">
        <v>226</v>
      </c>
    </row>
    <row r="4" ht="45" customHeight="1">
      <c r="A4" s="4" t="str">
        <v>AOW01: Productivity+</v>
      </c>
      <c r="B4" s="4" t="str">
        <v>ICARDA</v>
      </c>
      <c r="C4" s="4" t="str">
        <v>Mali</v>
      </c>
      <c r="D4" s="4" t="str">
        <v>country</v>
      </c>
      <c r="E4" s="5">
        <v>23</v>
      </c>
      <c r="F4" s="4">
        <v>228</v>
      </c>
    </row>
    <row r="5" ht="45" customHeight="1">
      <c r="A5" s="4" t="str">
        <v>AOW01: Productivity+</v>
      </c>
      <c r="B5" s="4" t="str">
        <v>ICARDA</v>
      </c>
      <c r="C5" s="4" t="str">
        <v>Nepal</v>
      </c>
      <c r="D5" s="4" t="str">
        <v>country</v>
      </c>
      <c r="E5" s="5">
        <v>6</v>
      </c>
      <c r="F5" s="4">
        <v>227</v>
      </c>
    </row>
    <row r="6" ht="45" customHeight="1">
      <c r="A6" s="8" t="str">
        <v>AOW02: Climate and the Environment</v>
      </c>
      <c r="B6" s="4" t="str">
        <v>ICARDA</v>
      </c>
      <c r="C6" s="4" t="str">
        <v>Global</v>
      </c>
      <c r="D6" s="4" t="str">
        <v>global</v>
      </c>
      <c r="E6" s="5">
        <v>21</v>
      </c>
      <c r="F6" s="4">
        <v>181</v>
      </c>
    </row>
    <row r="7" ht="45" customHeight="1">
      <c r="A7" s="4" t="str">
        <v>AOW02: Climate and the Environment</v>
      </c>
      <c r="B7" s="4" t="str">
        <v>ICARDA</v>
      </c>
      <c r="C7" s="4" t="str">
        <v>Ethiopia</v>
      </c>
      <c r="D7" s="4" t="str">
        <v>country</v>
      </c>
      <c r="E7" s="5">
        <v>79</v>
      </c>
      <c r="F7" s="4">
        <v>180</v>
      </c>
    </row>
    <row r="8" ht="45" customHeight="1">
      <c r="A8" s="8" t="str">
        <v>AOW03: One Health</v>
      </c>
      <c r="B8" s="4" t="str">
        <v>ICARDA</v>
      </c>
      <c r="C8" s="4" t="str">
        <v>Global</v>
      </c>
      <c r="D8" s="4" t="str">
        <v>global</v>
      </c>
      <c r="E8" s="5">
        <v>100</v>
      </c>
      <c r="F8" s="4">
        <v>279</v>
      </c>
    </row>
    <row r="9" ht="45" customHeight="1">
      <c r="A9" s="8" t="str">
        <v>AOW04: Market Systems, Policy Solutions and Scaling</v>
      </c>
      <c r="B9" s="4" t="str">
        <v>ICARDA</v>
      </c>
      <c r="C9" s="4" t="str">
        <v>Global</v>
      </c>
      <c r="D9" s="4" t="str">
        <v>global</v>
      </c>
      <c r="E9" s="5">
        <v>100</v>
      </c>
      <c r="F9" s="4">
        <v>144</v>
      </c>
    </row>
    <row r="10" ht="45" customHeight="1">
      <c r="A10" s="8" t="str">
        <v>AOW05: Gender, Youth and Social Inclusion</v>
      </c>
      <c r="B10" s="4" t="str">
        <v>ICARDA</v>
      </c>
      <c r="C10" s="4" t="str">
        <v>Ethiopia</v>
      </c>
      <c r="D10" s="4" t="str">
        <v>country</v>
      </c>
      <c r="E10" s="5">
        <v>50</v>
      </c>
      <c r="F10" s="4">
        <v>145</v>
      </c>
    </row>
    <row r="11" ht="45" customHeight="1">
      <c r="A11" s="4" t="str">
        <v>AOW05: Gender, Youth and Social Inclusion</v>
      </c>
      <c r="B11" s="4" t="str">
        <v>ICARDA</v>
      </c>
      <c r="C11" s="4" t="str">
        <v>Mali</v>
      </c>
      <c r="D11" s="4" t="str">
        <v>country</v>
      </c>
      <c r="E11" s="5">
        <v>50</v>
      </c>
      <c r="F11" s="4">
        <v>146</v>
      </c>
    </row>
    <row r="12" ht="45" customHeight="1">
      <c r="A12" s="8" t="str">
        <v>AOW06: Data and Digital Solutions</v>
      </c>
      <c r="B12" s="4" t="str">
        <v>ICARDA</v>
      </c>
      <c r="C12" s="4" t="str">
        <v>Eastern Africa</v>
      </c>
      <c r="D12" s="4" t="str">
        <v>region</v>
      </c>
      <c r="E12" s="5">
        <v>100</v>
      </c>
      <c r="F12" s="4">
        <v>183</v>
      </c>
    </row>
  </sheetData>
  <mergeCells count="7">
    <mergeCell ref="A2"/>
    <mergeCell ref="A3:A5"/>
    <mergeCell ref="A6:A7"/>
    <mergeCell ref="A8"/>
    <mergeCell ref="A9"/>
    <mergeCell ref="A10:A11"/>
    <mergeCell ref="A12"/>
  </mergeCells>
  <ignoredErrors>
    <ignoredError numberStoredAsText="1" sqref="A1:F12"/>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