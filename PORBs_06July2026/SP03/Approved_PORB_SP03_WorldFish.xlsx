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141425</v>
      </c>
      <c r="K4" s="5">
        <v>141425</v>
      </c>
      <c r="L4" s="5">
        <v>0</v>
      </c>
      <c r="M4" s="5">
        <v>0</v>
      </c>
      <c r="N4" s="4">
        <v>176</v>
      </c>
    </row>
    <row r="5" ht="20" customHeight="1">
      <c r="A5" s="4" t="str">
        <v>AOW01: Productivity+</v>
      </c>
      <c r="B5" s="5">
        <v>9</v>
      </c>
      <c r="C5" s="5">
        <v>922004</v>
      </c>
      <c r="D5" s="5">
        <v>11</v>
      </c>
      <c r="E5" s="5">
        <v>299668</v>
      </c>
      <c r="F5" s="5">
        <v>0</v>
      </c>
      <c r="G5" s="5">
        <v>0</v>
      </c>
      <c r="H5" s="5">
        <v>95235</v>
      </c>
      <c r="I5" s="5">
        <v>321693</v>
      </c>
      <c r="J5" s="5">
        <v>1543365</v>
      </c>
      <c r="K5" s="5">
        <v>1543365</v>
      </c>
      <c r="L5" s="5">
        <v>14452</v>
      </c>
      <c r="M5" s="5">
        <v>0</v>
      </c>
      <c r="N5" s="4">
        <v>175</v>
      </c>
    </row>
    <row r="6" ht="20" customHeight="1">
      <c r="A6" s="4" t="str">
        <v>AOW02: Climate and the Environment</v>
      </c>
      <c r="B6" s="5">
        <v>1</v>
      </c>
      <c r="C6" s="5">
        <v>38000</v>
      </c>
      <c r="D6" s="5">
        <v>1</v>
      </c>
      <c r="E6" s="5">
        <v>69680</v>
      </c>
      <c r="F6" s="5">
        <v>0</v>
      </c>
      <c r="G6" s="5">
        <v>0</v>
      </c>
      <c r="H6" s="5">
        <v>0</v>
      </c>
      <c r="I6" s="5">
        <v>0</v>
      </c>
      <c r="J6" s="5">
        <v>107680</v>
      </c>
      <c r="K6" s="5">
        <v>107680</v>
      </c>
      <c r="L6" s="5">
        <v>0</v>
      </c>
      <c r="M6" s="5">
        <v>0</v>
      </c>
      <c r="N6" s="4">
        <v>173</v>
      </c>
    </row>
    <row r="7" ht="20" customHeight="1">
      <c r="A7" s="4" t="str">
        <v>AOW03: One Health</v>
      </c>
      <c r="B7" s="5">
        <v>0</v>
      </c>
      <c r="C7" s="5">
        <v>0</v>
      </c>
      <c r="D7" s="5">
        <v>3</v>
      </c>
      <c r="E7" s="5">
        <v>132000</v>
      </c>
      <c r="F7" s="5">
        <v>300</v>
      </c>
      <c r="G7" s="5">
        <v>102841</v>
      </c>
      <c r="H7" s="5">
        <v>0</v>
      </c>
      <c r="I7" s="5">
        <v>0</v>
      </c>
      <c r="J7" s="5">
        <v>234841</v>
      </c>
      <c r="K7" s="5">
        <v>234841</v>
      </c>
      <c r="L7" s="5">
        <v>3000</v>
      </c>
      <c r="M7" s="5">
        <v>0</v>
      </c>
      <c r="N7" s="4">
        <v>170</v>
      </c>
    </row>
    <row r="8" ht="20" customHeight="1">
      <c r="A8" s="4" t="str">
        <v>AOW04: Market Systems, Policy Solutions and Scaling</v>
      </c>
      <c r="B8" s="5">
        <v>0</v>
      </c>
      <c r="C8" s="5">
        <v>0</v>
      </c>
      <c r="D8" s="5">
        <v>6</v>
      </c>
      <c r="E8" s="5">
        <v>153176</v>
      </c>
      <c r="F8" s="5">
        <v>0</v>
      </c>
      <c r="G8" s="5">
        <v>0</v>
      </c>
      <c r="H8" s="5">
        <v>0</v>
      </c>
      <c r="I8" s="5">
        <v>0</v>
      </c>
      <c r="J8" s="5">
        <v>153176</v>
      </c>
      <c r="K8" s="5">
        <v>153176</v>
      </c>
      <c r="L8" s="5">
        <v>0</v>
      </c>
      <c r="M8" s="5">
        <v>0</v>
      </c>
      <c r="N8" s="4">
        <v>172</v>
      </c>
    </row>
    <row r="9" ht="20" customHeight="1">
      <c r="A9" s="4" t="str">
        <v>AOW05: Gender, Youth and Social Inclusion</v>
      </c>
      <c r="B9" s="5">
        <v>0</v>
      </c>
      <c r="C9" s="5">
        <v>0</v>
      </c>
      <c r="D9" s="5">
        <v>3</v>
      </c>
      <c r="E9" s="5">
        <v>171974</v>
      </c>
      <c r="F9" s="5">
        <v>0</v>
      </c>
      <c r="G9" s="5">
        <v>0</v>
      </c>
      <c r="H9" s="5">
        <v>0</v>
      </c>
      <c r="I9" s="5">
        <v>0</v>
      </c>
      <c r="J9" s="5">
        <v>171974</v>
      </c>
      <c r="K9" s="5">
        <v>171974</v>
      </c>
      <c r="L9" s="5">
        <v>17000</v>
      </c>
      <c r="M9" s="5">
        <v>0</v>
      </c>
      <c r="N9" s="4">
        <v>171</v>
      </c>
    </row>
    <row r="10" ht="20" customHeight="1">
      <c r="A10" s="4" t="str">
        <v>AOW06: Data and Digital Solutions</v>
      </c>
      <c r="B10" s="5">
        <v>4</v>
      </c>
      <c r="C10" s="5">
        <v>200000</v>
      </c>
      <c r="D10" s="5">
        <v>2</v>
      </c>
      <c r="E10" s="5">
        <v>119452</v>
      </c>
      <c r="F10" s="5">
        <v>0</v>
      </c>
      <c r="G10" s="5">
        <v>0</v>
      </c>
      <c r="H10" s="5">
        <v>0</v>
      </c>
      <c r="I10" s="5">
        <v>0</v>
      </c>
      <c r="J10" s="5">
        <v>319452</v>
      </c>
      <c r="K10" s="5">
        <v>319452</v>
      </c>
      <c r="L10" s="5">
        <v>36900</v>
      </c>
      <c r="M10" s="5">
        <v>0</v>
      </c>
      <c r="N10" s="4">
        <v>174</v>
      </c>
    </row>
    <row r="11" ht="25" customHeight="1">
      <c r="A11" s="6" t="str">
        <v>Total</v>
      </c>
      <c r="B11" s="7" t="str">
        <v/>
      </c>
      <c r="C11" s="7">
        <v>1160004</v>
      </c>
      <c r="D11" s="7" t="str">
        <v/>
      </c>
      <c r="E11" s="7">
        <v>945950</v>
      </c>
      <c r="F11" s="7" t="str">
        <v/>
      </c>
      <c r="G11" s="7">
        <v>102841</v>
      </c>
      <c r="H11" s="7" t="str">
        <v/>
      </c>
      <c r="I11" s="7">
        <v>321693</v>
      </c>
      <c r="J11" s="7">
        <v>2671913</v>
      </c>
      <c r="K11" s="7">
        <v>2671913</v>
      </c>
      <c r="L11" s="7">
        <v>71352</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Productivity+</v>
      </c>
      <c r="B3" s="4" t="str">
        <v>WorldFish</v>
      </c>
      <c r="C3" s="4" t="str">
        <v>HLO 1.1 - Sustainable breeding and conservation programs and inclusive delivery models</v>
      </c>
      <c r="D3" s="4" t="str">
        <v>Critical capability: use facilities at the Aquaculture Research Centre to support the continuous provision of advanced generations of genetically improved GIFT tilapia to national public and private hatcheries</v>
      </c>
      <c r="E3" s="4" t="str">
        <v>custom</v>
      </c>
      <c r="F3" s="4" t="str">
        <v>Malaysia</v>
      </c>
      <c r="G3" s="5">
        <v>95235</v>
      </c>
      <c r="H3" s="5">
        <v>321693</v>
      </c>
      <c r="I3" s="4" t="str">
        <v>Estimate According to activities (Staff time, and Operation)</v>
      </c>
      <c r="J3" s="4">
        <v>5146</v>
      </c>
    </row>
    <row r="4" ht="50" customHeight="1">
      <c r="B4" s="4" t="str">
        <v>WorldFish</v>
      </c>
      <c r="D4" s="4" t="str">
        <v>Global - Productivity+: publications and publication pipeline relating to tilapia genetic improvement and dissemination</v>
      </c>
      <c r="E4" s="4" t="str">
        <v>Number of knowledge products</v>
      </c>
      <c r="F4" s="4" t="str">
        <v>Egypt, Côte d'Ivoire, Bangladesh, Kenya, Nigeria, Zambia, Malaysia, Fiji, Solomon Islands, Liberia</v>
      </c>
      <c r="G4" s="5">
        <v>2</v>
      </c>
      <c r="H4" s="5">
        <v>79701</v>
      </c>
      <c r="I4" s="4" t="str">
        <v>Estimate According to activities (Staff time, and Operation)</v>
      </c>
      <c r="J4" s="4">
        <v>5151</v>
      </c>
    </row>
    <row r="5" ht="50" customHeight="1">
      <c r="B5" s="4" t="str">
        <v>WorldFish</v>
      </c>
      <c r="D5" s="4" t="str">
        <v>Global - Productivity+: dissemination of improved Tilapia to farmers through hatcheries</v>
      </c>
      <c r="E5" s="4" t="str">
        <v>Number of knowledge products</v>
      </c>
      <c r="F5" s="4" t="str">
        <v>Bangladesh, Nigeria</v>
      </c>
      <c r="G5" s="5">
        <v>1</v>
      </c>
      <c r="H5" s="5">
        <v>36016</v>
      </c>
      <c r="I5" s="4" t="str">
        <v>Estimate According to activities (Staff time, and Operation)</v>
      </c>
      <c r="J5" s="4">
        <v>5152</v>
      </c>
    </row>
    <row r="6" ht="50" customHeight="1">
      <c r="B6" s="4" t="str">
        <v>WorldFish</v>
      </c>
      <c r="D6" s="4" t="str">
        <v>Global - Productivity+: dissemination of Tilapia, G20 GIFT and G19 GIANT, to hatcheries to allow dissemination to farmers from 2027</v>
      </c>
      <c r="E6" s="4" t="str">
        <v>Number of knowledge products</v>
      </c>
      <c r="F6" s="4" t="str">
        <v>Fiji, Solomon Islands, Côte d'Ivoire, Liberia, Kenya, Bangladesh, Malaysia</v>
      </c>
      <c r="G6" s="5">
        <v>1</v>
      </c>
      <c r="H6" s="5">
        <v>44938</v>
      </c>
      <c r="I6" s="4" t="str">
        <v>Estimate According to activities (Staff time, and Operation)</v>
      </c>
      <c r="J6" s="4">
        <v>5153</v>
      </c>
    </row>
    <row r="7" ht="50" customHeight="1">
      <c r="B7" s="4" t="str">
        <v>WorldFish</v>
      </c>
      <c r="D7" s="4" t="str">
        <v>Global - Productivity+: Generation of 250+ advanced generation Tilapia families across 4 strains.</v>
      </c>
      <c r="E7" s="4" t="str">
        <v>Number of innovations (innovation development)</v>
      </c>
      <c r="F7" s="4" t="str">
        <v>Zambia, Egypt, Malaysia</v>
      </c>
      <c r="G7" s="5">
        <v>3</v>
      </c>
      <c r="H7" s="5">
        <v>339613</v>
      </c>
      <c r="I7" s="4" t="str">
        <v>Estimate According to activities (Staff time, and Operation)</v>
      </c>
      <c r="J7" s="4">
        <v>5154</v>
      </c>
    </row>
    <row r="8" ht="50" customHeight="1">
      <c r="B8" s="4" t="str">
        <v>WorldFish</v>
      </c>
      <c r="D8" s="4" t="str">
        <v xml:space="preserve">Bangladesh - aquaculture: dissemination of G3 Rohu to farmers  through hatcheries </v>
      </c>
      <c r="E8" s="4" t="str">
        <v>Number of knowledge products</v>
      </c>
      <c r="F8" s="4" t="str">
        <v>Bangladesh</v>
      </c>
      <c r="G8" s="5">
        <v>1</v>
      </c>
      <c r="H8" s="5">
        <v>14013</v>
      </c>
      <c r="I8" s="4" t="str">
        <v>Estimate According to activities (Staff time, and Operation)</v>
      </c>
      <c r="J8" s="4">
        <v>5155</v>
      </c>
    </row>
    <row r="9" ht="50" customHeight="1" xml:space="preserve">
      <c r="B9" s="4" t="str">
        <v>WorldFish</v>
      </c>
      <c r="D9" s="4" t="str" xml:space="preserve">
        <v xml:space="preserve">Bangladesh - aquaculture: dissemination of G5 rohu and G4 silver carp to hatcheries to allow dissemination to farmers from 2028
</v>
      </c>
      <c r="E9" s="4" t="str">
        <v>Number of innovations (innovation development)</v>
      </c>
      <c r="F9" s="4" t="str">
        <v>Bangladesh</v>
      </c>
      <c r="G9" s="5">
        <v>1</v>
      </c>
      <c r="H9" s="5">
        <v>91843</v>
      </c>
      <c r="I9" s="4" t="str">
        <v>Estimate According to activities (Staff time, and Operation)</v>
      </c>
      <c r="J9" s="4">
        <v>5156</v>
      </c>
    </row>
    <row r="10" ht="50" customHeight="1" xml:space="preserve">
      <c r="B10" s="4" t="str">
        <v>WorldFish</v>
      </c>
      <c r="D10" s="4" t="str" xml:space="preserve">
        <v xml:space="preserve">Bangladesh - aquaculture: generation of 300+ advanced generation Carp families across 3 species
</v>
      </c>
      <c r="E10" s="4" t="str">
        <v>Number of innovations (innovation development)</v>
      </c>
      <c r="F10" s="4" t="str">
        <v>Bangladesh</v>
      </c>
      <c r="G10" s="5">
        <v>3</v>
      </c>
      <c r="H10" s="5">
        <v>420548</v>
      </c>
      <c r="I10" s="4" t="str">
        <v>Estimate According to activities (Staff time, and Operation)</v>
      </c>
      <c r="J10" s="4">
        <v>5157</v>
      </c>
    </row>
    <row r="11" ht="50" customHeight="1">
      <c r="B11" s="4" t="str">
        <v>WorldFish</v>
      </c>
      <c r="D11" s="4" t="str">
        <v>Bangladesh - aquaculture:  publications and publication pipeline relating to aquaculture in bangaldesh</v>
      </c>
      <c r="E11" s="4" t="str">
        <v>Number of knowledge products</v>
      </c>
      <c r="F11" s="4" t="str">
        <v>Bangladesh</v>
      </c>
      <c r="G11" s="5">
        <v>1</v>
      </c>
      <c r="H11" s="5">
        <v>10000</v>
      </c>
      <c r="I11" s="4" t="str">
        <v>Estimate According to activities (Staff time, and Operation)</v>
      </c>
      <c r="J11" s="4">
        <v>7581</v>
      </c>
    </row>
    <row r="12" ht="50" customHeight="1">
      <c r="B12" s="4" t="str">
        <v>WorldFish</v>
      </c>
      <c r="D12" s="4" t="str">
        <v xml:space="preserve">Bangladesh - aquaculture: digital fish seed traceability system </v>
      </c>
      <c r="E12" s="4" t="str">
        <v>Number of innovations (innovation development)</v>
      </c>
      <c r="F12" s="4" t="str">
        <v>Bangladesh</v>
      </c>
      <c r="G12" s="5">
        <v>1</v>
      </c>
      <c r="H12" s="5">
        <v>20000</v>
      </c>
      <c r="I12" s="4" t="str">
        <v>Estimate According to activities (Staff time, and Operation)</v>
      </c>
      <c r="J12" s="4">
        <v>7582</v>
      </c>
    </row>
    <row r="13" ht="50" customHeight="1">
      <c r="A13" s="4" t="str">
        <v>AOW01: Productivity+</v>
      </c>
      <c r="B13" s="4" t="str">
        <v>WorldFish</v>
      </c>
      <c r="C13" s="4" t="str">
        <v>HLO 1.2 - Cost-efficient animal and aquatic species feed and forage innovations and inclusive delivery models</v>
      </c>
      <c r="D13" s="4" t="str">
        <v>Bangladesh - aquaculture:  innovation Toolkit on Integrated Dairy–Duckweed–Aquaculture–Fodder System (IDAS)</v>
      </c>
      <c r="E13" s="4" t="str">
        <v>Number of innovations (innovation development)</v>
      </c>
      <c r="F13" s="4" t="str">
        <v>Bangladesh</v>
      </c>
      <c r="G13" s="5">
        <v>1</v>
      </c>
      <c r="H13" s="5">
        <v>50000</v>
      </c>
      <c r="I13" s="4" t="str">
        <v>Estimate According to activities (Staff time, and Operation)</v>
      </c>
      <c r="J13" s="4">
        <v>7578</v>
      </c>
    </row>
    <row r="14" ht="50" customHeight="1">
      <c r="B14" s="4" t="str">
        <v>WorldFish</v>
      </c>
      <c r="D14" s="4" t="str">
        <v>Bangladesh - aquaculture:  validated Near-Infrared Spectroscopy Calibration Equation for Rapid Characterization of Aquatic Feeds Protein, Fat and Ash in Bangladesh</v>
      </c>
      <c r="E14" s="4" t="str">
        <v>Number of knowledge products</v>
      </c>
      <c r="F14" s="4" t="str">
        <v>Bangladesh</v>
      </c>
      <c r="G14" s="5">
        <v>1</v>
      </c>
      <c r="H14" s="5">
        <v>10000</v>
      </c>
      <c r="I14" s="4" t="str">
        <v>Estimate According to activities (Staff time, and Operation)</v>
      </c>
      <c r="J14" s="4">
        <v>7602</v>
      </c>
    </row>
    <row r="15" ht="50" customHeight="1" xml:space="preserve">
      <c r="A15" s="4" t="str">
        <v>AOW01: Productivity+</v>
      </c>
      <c r="B15" s="4" t="str">
        <v>WorldFish</v>
      </c>
      <c r="C15" s="4" t="str">
        <v>HLO 1.3 - Cost-efficient animal and aquatic species health and welfare innovations and inclusive delivery models</v>
      </c>
      <c r="D15" s="4" t="str" xml:space="preserve">
        <v xml:space="preserve">Bangladesh - aquaculture: pathogen screening of Carp nucleus  populations, prior to dissemination to hatcheries, in Bangladesh
</v>
      </c>
      <c r="E15" s="4" t="str">
        <v>Number of knowledge products</v>
      </c>
      <c r="F15" s="4" t="str">
        <v>Bangladesh</v>
      </c>
      <c r="G15" s="5">
        <v>1</v>
      </c>
      <c r="H15" s="5">
        <v>5000</v>
      </c>
      <c r="I15" s="4" t="str">
        <v>Estimate According to activities (Staff time, and Operation)</v>
      </c>
      <c r="J15" s="4">
        <v>7606</v>
      </c>
    </row>
    <row r="16" ht="50" customHeight="1">
      <c r="B16" s="4" t="str">
        <v>WorldFish</v>
      </c>
      <c r="D16" s="4" t="str">
        <v>Global - Productivity+:  pathogen screening of Tilapia nucleus populations prior to dissemination to hatcheries</v>
      </c>
      <c r="E16" s="4" t="str">
        <v>Number of knowledge products</v>
      </c>
      <c r="F16" s="4" t="str">
        <v>Malaysia</v>
      </c>
      <c r="G16" s="5">
        <v>1</v>
      </c>
      <c r="H16" s="5">
        <v>20000</v>
      </c>
      <c r="I16" s="4" t="str">
        <v>Estimate According to activities (Staff time, and Operation)</v>
      </c>
      <c r="J16" s="4">
        <v>7611</v>
      </c>
    </row>
    <row r="17" ht="50" customHeight="1" xml:space="preserve">
      <c r="A17" s="4" t="str">
        <v>AOW01: Productivity+</v>
      </c>
      <c r="B17" s="4" t="str">
        <v>WorldFish</v>
      </c>
      <c r="C17" s="4" t="str">
        <v>HLO 1.5  - Inclusive approaches, tools and capacity sharing to support animal and aquatic food producers to adopt combinations of innovations</v>
      </c>
      <c r="D17" s="4" t="str" xml:space="preserve">
        <v xml:space="preserve">Bangladesh - aquaculture: report on exchange workshop on artemia brine shrimp
</v>
      </c>
      <c r="E17" s="4" t="str">
        <v>Number of knowledge products</v>
      </c>
      <c r="F17" s="4" t="str">
        <v>Bangladesh</v>
      </c>
      <c r="G17" s="5">
        <v>1</v>
      </c>
      <c r="H17" s="5">
        <v>30000</v>
      </c>
      <c r="I17" s="4" t="str">
        <v>Estimate According to activities (Staff time, and Operation)</v>
      </c>
      <c r="J17" s="4">
        <v>7629</v>
      </c>
    </row>
    <row r="18" ht="50" customHeight="1">
      <c r="B18" s="4" t="str">
        <v>WorldFish</v>
      </c>
      <c r="D18" s="4" t="str">
        <v>Ghana - aquaculture: scoping assessment of enabling conditions, health and biosecurity considerations, and risks associated with the introduction of GIFT tilapia into Ghana</v>
      </c>
      <c r="E18" s="4" t="str">
        <v>Number of knowledge products</v>
      </c>
      <c r="F18" s="4" t="str">
        <v>Ghana</v>
      </c>
      <c r="G18" s="5">
        <v>1</v>
      </c>
      <c r="H18" s="5">
        <v>50000</v>
      </c>
      <c r="I18" s="4" t="str">
        <v>Estimate According to activities (Staff time, and Operation)</v>
      </c>
      <c r="J18" s="4">
        <v>7688</v>
      </c>
    </row>
    <row r="19" ht="25" customHeight="1">
      <c r="C19" s="9" t="str">
        <v>HLO budget subtotal</v>
      </c>
      <c r="H19" s="9">
        <v>1543365</v>
      </c>
      <c r="J19" s="9" t="str">
        <v/>
      </c>
    </row>
    <row r="20" ht="50" customHeight="1">
      <c r="A20" s="8" t="str">
        <v>AOW02: Climate and the Environment</v>
      </c>
      <c r="B20" s="4" t="str">
        <v>WorldFish</v>
      </c>
      <c r="C20" s="4" t="str">
        <v xml:space="preserve">HLO 2.1 - Evidence of the benefits and impacts on climate and the environment </v>
      </c>
      <c r="D20" s="4" t="str">
        <v xml:space="preserve">Global- aquaculture and adaptation: aquaculture Climate Risk Profiles &amp; Innovation Pathways </v>
      </c>
      <c r="E20" s="4" t="str">
        <v>Number of knowledge products</v>
      </c>
      <c r="F20" s="4" t="str">
        <v>Malaysia</v>
      </c>
      <c r="G20" s="5">
        <v>1</v>
      </c>
      <c r="H20" s="5">
        <v>69680</v>
      </c>
      <c r="I20" s="4" t="str">
        <v>Estimate According to activities (Staff time, and Operation)</v>
      </c>
      <c r="J20" s="4">
        <v>5171</v>
      </c>
    </row>
    <row r="21" ht="50" customHeight="1">
      <c r="A21" s="4" t="str">
        <v>AOW02: Climate and the Environment</v>
      </c>
      <c r="B21" s="4" t="str">
        <v>WorldFish</v>
      </c>
      <c r="C21" s="4" t="str">
        <v>HLO 2.2- Climate-adapted innovations for efficient use and restoration of water, soil, and land resources, enhanced livelihoods, and reduced climate impacts</v>
      </c>
      <c r="D21" s="4" t="str">
        <v>Global- aquaculture and adaptation: a database of aquaculture adaptation solutions across innovation areas and value chain stages (e.g., breeding, farm practices, women's empowerment, livelihoods).</v>
      </c>
      <c r="E21" s="4" t="str">
        <v>Number of innovations (innovation development)</v>
      </c>
      <c r="F21" s="4" t="str">
        <v>Malaysia, Bangladesh</v>
      </c>
      <c r="G21" s="5">
        <v>1</v>
      </c>
      <c r="H21" s="5">
        <v>38000</v>
      </c>
      <c r="I21" s="4" t="str">
        <v>Estimate According to activities (Staff time, and Operation)</v>
      </c>
      <c r="J21" s="4">
        <v>8336</v>
      </c>
    </row>
    <row r="22" ht="25" customHeight="1">
      <c r="C22" s="9" t="str">
        <v>HLO budget subtotal</v>
      </c>
      <c r="H22" s="9">
        <v>107680</v>
      </c>
      <c r="J22" s="9" t="str">
        <v/>
      </c>
    </row>
    <row r="23" ht="50" customHeight="1">
      <c r="A23" s="8" t="str">
        <v>AOW03: One Health</v>
      </c>
      <c r="B23" s="4" t="str">
        <v>WorldFish</v>
      </c>
      <c r="C23" s="4" t="str">
        <v xml:space="preserve">HLO 3.3 - Targeted innovations and incentives to reduce antimicrobial use and mitigate antimicrobial risks </v>
      </c>
      <c r="D23" s="4" t="str">
        <v xml:space="preserve">Bangladesh - circular One Health approach: Recommendation guidelines for integrated antimicrobial resistance (AMR) surveillance and innovative solutions to reduce AMR in aquaculture systems. </v>
      </c>
      <c r="E23" s="4" t="str">
        <v>Number of knowledge products</v>
      </c>
      <c r="F23" s="4" t="str">
        <v>Bangladesh</v>
      </c>
      <c r="G23" s="5">
        <v>1</v>
      </c>
      <c r="H23" s="5">
        <v>52000</v>
      </c>
      <c r="I23" s="4" t="str">
        <v>Estimate According to activities (Staff time, and Operation)</v>
      </c>
      <c r="J23" s="4">
        <v>5204</v>
      </c>
    </row>
    <row r="24" ht="50" customHeight="1">
      <c r="B24" s="4" t="str">
        <v>WorldFish</v>
      </c>
      <c r="D24" s="4" t="str">
        <v>Bangladesh - circular One Health approach: Multisectoral recommendations for integrated AMR surveillance and context-specific solutions to reduce AMR risks across terrestrial and aquatic environments.</v>
      </c>
      <c r="E24" s="4" t="str">
        <v>Number of knowledge products</v>
      </c>
      <c r="F24" s="4" t="str">
        <v>Bangladesh</v>
      </c>
      <c r="G24" s="5">
        <v>1</v>
      </c>
      <c r="H24" s="5">
        <v>60000</v>
      </c>
      <c r="I24" s="4" t="str">
        <v>Estimate According to activities (Staff time, and Operation)</v>
      </c>
      <c r="J24" s="4">
        <v>7546</v>
      </c>
    </row>
    <row r="25" ht="50" customHeight="1">
      <c r="A25" s="4" t="str">
        <v>AOW03: One Health</v>
      </c>
      <c r="B25" s="4" t="str">
        <v>WorldFish</v>
      </c>
      <c r="C25" s="4" t="str">
        <v>HLO 3.4 - Optimized One Health service delivery model​</v>
      </c>
      <c r="D25" s="4" t="str">
        <v>Bangladesh - circular One Health approach: Enhancing national capacity through One Health training and action in Bangladesh.</v>
      </c>
      <c r="E25" s="4" t="str">
        <v>Number of people trained (capacity sharing for development)</v>
      </c>
      <c r="F25" s="4" t="str">
        <v>Bangladesh</v>
      </c>
      <c r="G25" s="5">
        <v>300</v>
      </c>
      <c r="H25" s="5">
        <v>102841</v>
      </c>
      <c r="I25" s="4" t="str">
        <v>Estimate According to activities (Staff time, Operation and Partner)</v>
      </c>
      <c r="J25" s="4">
        <v>5209</v>
      </c>
    </row>
    <row r="26" ht="50" customHeight="1">
      <c r="B26" s="4" t="str">
        <v>WorldFish</v>
      </c>
      <c r="D26" s="4" t="str">
        <v>Bangladesh - circular One Health approach: One Health impact story from Bangladesh that demonstrates the added value of integrated approaches.</v>
      </c>
      <c r="E26" s="4" t="str">
        <v>Number of knowledge products</v>
      </c>
      <c r="F26" s="4" t="str">
        <v>Bangladesh</v>
      </c>
      <c r="G26" s="5">
        <v>1</v>
      </c>
      <c r="H26" s="5">
        <v>20000</v>
      </c>
      <c r="I26" s="4" t="str">
        <v>Estimate According to activities (Staff time, and Operation)</v>
      </c>
      <c r="J26" s="4">
        <v>7553</v>
      </c>
    </row>
    <row r="27" ht="25" customHeight="1">
      <c r="C27" s="9" t="str">
        <v>HLO budget subtotal</v>
      </c>
      <c r="H27" s="9">
        <v>234841</v>
      </c>
      <c r="J27" s="9" t="str">
        <v/>
      </c>
    </row>
    <row r="28" ht="50" customHeight="1">
      <c r="A28" s="8" t="str">
        <v>AOW04: Market Systems, Policy Solutions and Scaling</v>
      </c>
      <c r="B28" s="4" t="str">
        <v>WorldFish</v>
      </c>
      <c r="C28" s="4" t="str">
        <v xml:space="preserve">HLO 4.4 - Policy analysis and engagement processes for improved governance and effectiveness </v>
      </c>
      <c r="D28" s="4" t="str">
        <v>India - SIF: 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v>
      </c>
      <c r="E28" s="4" t="str">
        <v>Number of knowledge products</v>
      </c>
      <c r="F28" s="4" t="str">
        <v>India</v>
      </c>
      <c r="G28" s="5">
        <v>1</v>
      </c>
      <c r="H28" s="5">
        <v>97261</v>
      </c>
      <c r="I28" s="4" t="str">
        <v>Estimate According to activities (Staff time, and Operation)</v>
      </c>
      <c r="J28" s="4">
        <v>5227</v>
      </c>
    </row>
    <row r="29" ht="50" customHeight="1">
      <c r="B29" s="4" t="str">
        <v>WorldFish</v>
      </c>
      <c r="D29" s="4" t="str">
        <v>Kenya - Pastoral: Co-design of policy recommendations to advance integrated landscape approaches across crops, livestock, and aquatic food systems</v>
      </c>
      <c r="E29" s="4" t="str">
        <v>Number of knowledge products</v>
      </c>
      <c r="F29" s="4" t="str">
        <v>Kenya</v>
      </c>
      <c r="G29" s="5">
        <v>2</v>
      </c>
      <c r="H29" s="5">
        <v>15000</v>
      </c>
      <c r="I29" s="4" t="str">
        <v>Estimate According to activities (Staff time, and Operation)</v>
      </c>
      <c r="J29" s="4">
        <v>7333</v>
      </c>
    </row>
    <row r="30" ht="50" customHeight="1">
      <c r="A30" s="4" t="str">
        <v>AOW04: Market Systems, Policy Solutions and Scaling</v>
      </c>
      <c r="B30" s="4" t="str">
        <v>WorldFish</v>
      </c>
      <c r="C30" s="4" t="str">
        <v xml:space="preserve">HLO 4.3 - Institutional &amp; behavioral models for enhanced use of innovations and improved governance </v>
      </c>
      <c r="D30" s="4" t="str">
        <v>Colombia - dual-purpose cattle: Report on identified farmer needs for support from WF, i.e., fish pond integration; Training material (for ToT aproach with champion farmers) on fish pond integration in dual-purpose cattle production systems</v>
      </c>
      <c r="E30" s="4" t="str">
        <v>Number of knowledge products</v>
      </c>
      <c r="F30" s="4" t="str">
        <v>Colombia</v>
      </c>
      <c r="G30" s="5">
        <v>1</v>
      </c>
      <c r="H30" s="5">
        <v>15000</v>
      </c>
      <c r="I30" s="4" t="str">
        <v>Estimate According to activities (Staff time, and Operation)</v>
      </c>
      <c r="J30" s="4">
        <v>7331</v>
      </c>
    </row>
    <row r="31" ht="50" customHeight="1" xml:space="preserve">
      <c r="A31" s="4" t="str">
        <v>AOW04: Market Systems, Policy Solutions and Scaling</v>
      </c>
      <c r="B31" s="4" t="str">
        <v>WorldFish</v>
      </c>
      <c r="C31" s="4" t="str">
        <v>HLO 4.5 - Evidence-based pathways for scaling  contextualized innovation packages with high readiness and demand</v>
      </c>
      <c r="D31" s="4" t="str" xml:space="preserve">
        <v xml:space="preserve">India - SIF: Learning brief about applying market systems analysis across West Bengal (IWMI) and Assam (WorldFish) for small indigenous fish species
</v>
      </c>
      <c r="E31" s="4" t="str">
        <v>Number of knowledge products</v>
      </c>
      <c r="F31" s="4" t="str">
        <v>India</v>
      </c>
      <c r="G31" s="5">
        <v>1</v>
      </c>
      <c r="H31" s="5">
        <v>15915</v>
      </c>
      <c r="I31" s="4" t="str">
        <v>Estimate According to activities (Staff time, and Operation)</v>
      </c>
      <c r="J31" s="4">
        <v>7435</v>
      </c>
    </row>
    <row r="32" ht="50" customHeight="1">
      <c r="B32" s="4" t="str">
        <v>WorldFish</v>
      </c>
      <c r="D32" s="4" t="str">
        <v>Global - AoW4 learnings: Learning brief (joint) - Scaling pathways in AAF systems</v>
      </c>
      <c r="E32" s="4" t="str">
        <v>Number of knowledge products</v>
      </c>
      <c r="F32" s="4" t="str">
        <v>Malaysia</v>
      </c>
      <c r="G32" s="5">
        <v>1</v>
      </c>
      <c r="H32" s="5">
        <v>10000</v>
      </c>
      <c r="I32" s="4" t="str">
        <v>Estimate According to activities (Staff time, and Operation)</v>
      </c>
      <c r="J32" s="4">
        <v>7442</v>
      </c>
    </row>
    <row r="33" ht="25" customHeight="1">
      <c r="C33" s="9" t="str">
        <v>HLO budget subtotal</v>
      </c>
      <c r="H33" s="9">
        <v>153176</v>
      </c>
      <c r="J33" s="9" t="str">
        <v/>
      </c>
    </row>
    <row r="34" ht="50" customHeight="1">
      <c r="A34" s="8" t="str">
        <v>AOW05: Gender, Youth and Social Inclusion</v>
      </c>
      <c r="B34" s="4" t="str">
        <v>WorldFish</v>
      </c>
      <c r="C34" s="4" t="str">
        <v>HLO 5.2 -  Tested interventions and theoretical advances on women &amp; youth empowerment and for equitable norms and policies</v>
      </c>
      <c r="D34" s="4" t="str">
        <v>Global- GYSI:  Enhanced access to finance opportunities for young women in aquaculture and fisheries with a focus on norms</v>
      </c>
      <c r="E34" s="4" t="str">
        <v>Number of knowledge products</v>
      </c>
      <c r="F34" s="4" t="str">
        <v>Tanzania, United Republic</v>
      </c>
      <c r="G34" s="5">
        <v>1</v>
      </c>
      <c r="H34" s="5">
        <v>40000</v>
      </c>
      <c r="I34" s="4" t="str">
        <v>Estimate According to activities (Staff time, and Operation)</v>
      </c>
      <c r="J34" s="4">
        <v>7452</v>
      </c>
    </row>
    <row r="35" ht="50" customHeight="1">
      <c r="B35" s="4" t="str">
        <v>WorldFish</v>
      </c>
      <c r="D35" s="4" t="str">
        <v xml:space="preserve"> Global- GYSI: An approach to integrating gender considerations in fisheries and aquaculture development policy</v>
      </c>
      <c r="E35" s="4" t="str">
        <v>Number of knowledge products</v>
      </c>
      <c r="F35" s="4" t="str">
        <v>Malaysia</v>
      </c>
      <c r="G35" s="5">
        <v>1</v>
      </c>
      <c r="H35" s="5">
        <v>103974</v>
      </c>
      <c r="I35" s="4" t="str">
        <v>Estimate According to activities (Staff time, and Operation)</v>
      </c>
      <c r="J35" s="4">
        <v>7463</v>
      </c>
    </row>
    <row r="36" ht="50" customHeight="1">
      <c r="B36" s="4" t="str">
        <v>WorldFish</v>
      </c>
      <c r="D36" s="4" t="str">
        <v>Global- GYSI: Exploration of norms affecting post-harvest fish business in Kenya</v>
      </c>
      <c r="E36" s="4" t="str">
        <v>Number of knowledge products</v>
      </c>
      <c r="F36" s="4" t="str">
        <v>Kenya</v>
      </c>
      <c r="G36" s="5">
        <v>1</v>
      </c>
      <c r="H36" s="5">
        <v>28000</v>
      </c>
      <c r="I36" s="4" t="str">
        <v>Estimate According to activities (Staff time, and Operation)</v>
      </c>
      <c r="J36" s="4">
        <v>8301</v>
      </c>
    </row>
    <row r="37" ht="25" customHeight="1">
      <c r="C37" s="9" t="str">
        <v>HLO budget subtotal</v>
      </c>
      <c r="H37" s="9">
        <v>171974</v>
      </c>
      <c r="J37" s="9" t="str">
        <v/>
      </c>
    </row>
    <row r="38" ht="50" customHeight="1">
      <c r="A38" s="8" t="str">
        <v>AOW06: Data and Digital Solutions</v>
      </c>
      <c r="B38" s="4" t="str">
        <v>WorldFish</v>
      </c>
      <c r="C38" s="4" t="str">
        <v>HLO 6.1 - Develop and promote standardized, FAIR-aligned data protocols, ethical guidelines, best practices, and inform institutional practice and policies</v>
      </c>
      <c r="D38" s="4" t="str">
        <v>Global- Digital Ecosystems for Animal and Aquatic Food System Transformation: Country Digital Landscape Assessments: National digital landscape assessments will be conducted to map data ecosystems, identify priority needs, and assess enabling conditions for scaling digital innovations, building on the Peskas model as a foundational digital framework.</v>
      </c>
      <c r="E38" s="4" t="str">
        <v>Number of knowledge products</v>
      </c>
      <c r="F38" s="4" t="str">
        <v>Kenya, Tanzania, United Republic, Malaysia, Nigeria, India, Côte d'Ivoire, Ghana</v>
      </c>
      <c r="G38" s="5">
        <v>2</v>
      </c>
      <c r="H38" s="5">
        <v>119452</v>
      </c>
      <c r="I38" s="4" t="str">
        <v>Estimate According to activities (Staff time, and Operation)</v>
      </c>
      <c r="J38" s="4">
        <v>5074</v>
      </c>
    </row>
    <row r="39" ht="50" customHeight="1">
      <c r="A39" s="4" t="str">
        <v>AOW06: Data and Digital Solutions</v>
      </c>
      <c r="B39" s="4" t="str">
        <v>WorldFish</v>
      </c>
      <c r="C39" s="4" t="str">
        <v>HLO 6.2 - Co-develop and test exploratory digital solutions, AI-based analytics, and decision-support systems</v>
      </c>
      <c r="D39" s="4" t="str">
        <v>Global- Digital Ecosystems for Animal and Aquatic Food System Transformation: Design and deploy digital solutions, building on the Peskas architecture, for smart monitoring of aquaculture systems, enabling data integration, real-time analytics, and decision support.</v>
      </c>
      <c r="E39" s="4" t="str">
        <v>Number of innovations (innovation development)</v>
      </c>
      <c r="F39" s="4" t="str">
        <v>Kenya, Côte d'Ivoire, Nigeria, Ghana, Malaysia, Tanzania, United Republic</v>
      </c>
      <c r="G39" s="5">
        <v>2</v>
      </c>
      <c r="H39" s="5">
        <v>120000</v>
      </c>
      <c r="I39" s="4" t="str">
        <v>Estimate According to activities (Staff time, and Operation)</v>
      </c>
      <c r="J39" s="4">
        <v>7477</v>
      </c>
    </row>
    <row r="40" ht="50" customHeight="1">
      <c r="A40" s="4" t="str">
        <v>AOW06: Data and Digital Solutions</v>
      </c>
      <c r="B40" s="4" t="str">
        <v>WorldFish</v>
      </c>
      <c r="C40" s="4" t="str">
        <v>HLO 6.3 - Co-design and deploy scalable digital platforms to facilitate knowledge exchange, data sharing, and innovation scaling in target geographies</v>
      </c>
      <c r="D40" s="4" t="str">
        <v>Global- Digital Ecosystems for Animal and Aquatic Food System Transformation: Design and implement an integrated digital platform, building on the Peskas model, that consolidates fisheries and aquaculture data streams into a unified system, enabling interoperability, analytics, and decision support for sustainable aquatic food system management.</v>
      </c>
      <c r="E40" s="4" t="str">
        <v>Number of innovations (innovation development)</v>
      </c>
      <c r="F40" s="4" t="str">
        <v>Nigeria, Kenya, Tanzania, United Republic, Malaysia, Côte d'Ivoire, Ghana</v>
      </c>
      <c r="G40" s="5">
        <v>2</v>
      </c>
      <c r="H40" s="5">
        <v>80000</v>
      </c>
      <c r="I40" s="4" t="str">
        <v>Estimate According to activities (Staff time and Operation)</v>
      </c>
      <c r="J40" s="4">
        <v>7478</v>
      </c>
    </row>
    <row r="41" ht="25" customHeight="1">
      <c r="C41" s="9" t="str">
        <v>HLO budget subtotal</v>
      </c>
      <c r="H41" s="9">
        <v>319452</v>
      </c>
      <c r="J41" s="9" t="str">
        <v/>
      </c>
    </row>
  </sheetData>
  <mergeCells count="27">
    <mergeCell ref="A1:A2"/>
    <mergeCell ref="B1:B2"/>
    <mergeCell ref="C1:C2"/>
    <mergeCell ref="D1:H1"/>
    <mergeCell ref="I1:I2"/>
    <mergeCell ref="J1:J2"/>
    <mergeCell ref="C3:C12"/>
    <mergeCell ref="C13:C14"/>
    <mergeCell ref="C15:C16"/>
    <mergeCell ref="C17:C18"/>
    <mergeCell ref="C19:G19"/>
    <mergeCell ref="A3:A19"/>
    <mergeCell ref="C22:G22"/>
    <mergeCell ref="A20:A22"/>
    <mergeCell ref="C23:C24"/>
    <mergeCell ref="C25:C26"/>
    <mergeCell ref="C27:G27"/>
    <mergeCell ref="A23:A27"/>
    <mergeCell ref="C28:C29"/>
    <mergeCell ref="C31:C32"/>
    <mergeCell ref="C33:G33"/>
    <mergeCell ref="A28:A33"/>
    <mergeCell ref="C34:C36"/>
    <mergeCell ref="C37:G37"/>
    <mergeCell ref="A34:A37"/>
    <mergeCell ref="C41:G41"/>
    <mergeCell ref="A38:A41"/>
  </mergeCells>
  <ignoredErrors>
    <ignoredError numberStoredAsText="1" sqref="A1:J41"/>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Productivity+</v>
      </c>
      <c r="B2" s="4" t="str">
        <v>ARITS Limited</v>
      </c>
      <c r="C2" s="4" t="str">
        <v>WorldFish</v>
      </c>
      <c r="D2" s="4" t="str">
        <v>Bangladesh</v>
      </c>
      <c r="E2" s="5">
        <v>14452</v>
      </c>
      <c r="F2" s="4" t="str">
        <v>Contract between May to Dec 2026</v>
      </c>
      <c r="G2" s="4">
        <v>478</v>
      </c>
    </row>
    <row r="3" ht="25" customHeight="1">
      <c r="B3" s="9" t="str">
        <v>Contracted partners subtotal</v>
      </c>
      <c r="E3" s="9">
        <v>14452</v>
      </c>
      <c r="F3" s="9" t="str">
        <v/>
      </c>
      <c r="G3" s="9" t="str">
        <v/>
      </c>
    </row>
    <row r="4" ht="50" customHeight="1">
      <c r="A4" s="8" t="str">
        <v>AOW03: One Health</v>
      </c>
      <c r="B4" s="4" t="str">
        <v>Khulna University</v>
      </c>
      <c r="C4" s="4" t="str">
        <v>WorldFish</v>
      </c>
      <c r="D4" s="4" t="str">
        <v>Bangladesh</v>
      </c>
      <c r="E4" s="5">
        <v>3000</v>
      </c>
      <c r="F4" s="4" t="str">
        <v>Contracted from Jan - Dec 2026</v>
      </c>
      <c r="G4" s="4">
        <v>35</v>
      </c>
    </row>
    <row r="5" ht="25" customHeight="1">
      <c r="B5" s="9" t="str">
        <v>Contracted partners subtotal</v>
      </c>
      <c r="E5" s="9">
        <v>3000</v>
      </c>
      <c r="F5" s="9" t="str">
        <v/>
      </c>
      <c r="G5" s="9" t="str">
        <v/>
      </c>
    </row>
    <row r="6" ht="50" customHeight="1">
      <c r="A6" s="8" t="str">
        <v>AOW05: Gender, Youth and Social Inclusion</v>
      </c>
      <c r="B6" s="4" t="str">
        <v>University of Dar es Salaam</v>
      </c>
      <c r="C6" s="4" t="str">
        <v>WorldFish</v>
      </c>
      <c r="D6" s="4" t="str">
        <v>Tanzania, United Republic</v>
      </c>
      <c r="E6" s="5">
        <v>17000</v>
      </c>
      <c r="F6" s="4" t="str">
        <v>Contract Jan - Dec 2026</v>
      </c>
      <c r="G6" s="4">
        <v>479</v>
      </c>
    </row>
    <row r="7" ht="25" customHeight="1">
      <c r="B7" s="9" t="str">
        <v>Contracted partners subtotal</v>
      </c>
      <c r="E7" s="9">
        <v>17000</v>
      </c>
      <c r="F7" s="9" t="str">
        <v/>
      </c>
      <c r="G7" s="9" t="str">
        <v/>
      </c>
    </row>
    <row r="8" ht="50" customHeight="1">
      <c r="A8" s="8" t="str">
        <v>AOW06: Data and Digital Solutions</v>
      </c>
      <c r="B8" s="4" t="str">
        <v>Pacton</v>
      </c>
      <c r="C8" s="4" t="str">
        <v>WorldFish</v>
      </c>
      <c r="D8" s="4" t="str">
        <v>Malaysia</v>
      </c>
      <c r="E8" s="5">
        <v>10000</v>
      </c>
      <c r="F8" s="4" t="str">
        <v>May to Dec 2026</v>
      </c>
      <c r="G8" s="4">
        <v>25</v>
      </c>
    </row>
    <row r="9" ht="50" customHeight="1">
      <c r="A9" s="4" t="str">
        <v>AOW06: Data and Digital Solutions</v>
      </c>
      <c r="B9" s="4" t="str">
        <v>Tokyo University of Agriculture</v>
      </c>
      <c r="C9" s="4" t="str">
        <v>WorldFish</v>
      </c>
      <c r="D9" s="4" t="str">
        <v>Malaysia</v>
      </c>
      <c r="E9" s="5">
        <v>26900</v>
      </c>
      <c r="F9" s="4" t="str">
        <v>Jan to Dec 2026</v>
      </c>
      <c r="G9" s="4">
        <v>26</v>
      </c>
    </row>
    <row r="10" ht="25" customHeight="1">
      <c r="B10" s="9" t="str">
        <v>Contracted partners subtotal</v>
      </c>
      <c r="E10" s="9">
        <v>36900</v>
      </c>
      <c r="F10" s="9" t="str">
        <v/>
      </c>
      <c r="G10" s="9" t="str">
        <v/>
      </c>
    </row>
  </sheetData>
  <mergeCells count="8">
    <mergeCell ref="B3:D3"/>
    <mergeCell ref="A2:A3"/>
    <mergeCell ref="B5:D5"/>
    <mergeCell ref="A4:A5"/>
    <mergeCell ref="B7:D7"/>
    <mergeCell ref="A6:A7"/>
    <mergeCell ref="B10:D10"/>
    <mergeCell ref="A8:A10"/>
  </mergeCells>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PO8 - Policy and decision-makers design and implement new or improved policies, regulations or strategies for equitable, efficient, low-emission and resilient animal and aquatic food systems</v>
      </c>
      <c r="D2" s="5">
        <v>0</v>
      </c>
      <c r="E2" s="4" t="str">
        <v/>
      </c>
      <c r="F2" s="4">
        <v>995</v>
      </c>
    </row>
    <row r="3" ht="60" customHeight="1">
      <c r="A3" s="4" t="str">
        <v>WorldFish</v>
      </c>
      <c r="B3" s="4" t="str">
        <v>F-PP-2022-1020-Climate-Resilient Aquaculture Systems for Afr (AG10618)</v>
      </c>
      <c r="C3" s="4" t="str">
        <v xml:space="preserve">PO1 - Animal and aquatic food producers, including women, youth and marginalized groups adopting combinations of innovations </v>
      </c>
      <c r="D3" s="5">
        <v>0</v>
      </c>
      <c r="E3" s="4" t="str">
        <v/>
      </c>
      <c r="F3" s="4">
        <v>1016</v>
      </c>
    </row>
    <row r="4" ht="25" customHeight="1">
      <c r="B4" s="9" t="str">
        <v>W3/Bilateral budget subtotal</v>
      </c>
      <c r="D4" s="9">
        <v>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WorldFish</v>
      </c>
      <c r="C2" s="4" t="str">
        <v>Methodology for improved assessment of innovation users, and application to one SAAF aquatic system innovation</v>
      </c>
      <c r="D2" s="4" t="str">
        <v>PO1 - Animal and aquatic food producers, including women, youth and marginalized groups adopting combinations of innovations</v>
      </c>
      <c r="E2" s="4" t="str">
        <v>N/A</v>
      </c>
      <c r="F2" s="5">
        <v>0</v>
      </c>
      <c r="G2" s="4" t="str">
        <v/>
      </c>
      <c r="H2" s="4">
        <v>573</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54882</v>
      </c>
      <c r="E2" s="4" t="str">
        <v>AoW 6 - Data &amp; Digital Lead - LoE 20%</v>
      </c>
      <c r="F2" s="4">
        <v>7</v>
      </c>
      <c r="G2" s="4">
        <v>3</v>
      </c>
    </row>
    <row r="3" ht="45" customHeight="1" xml:space="preserve">
      <c r="A3" s="4" t="str">
        <v>AOW00: Cross Cutting</v>
      </c>
      <c r="B3" s="4" t="str">
        <v>WorldFish</v>
      </c>
      <c r="C3" s="4" t="str">
        <v>PMU, CGIAR Program Finance Support and associated Allocation</v>
      </c>
      <c r="D3" s="5">
        <v>14200</v>
      </c>
      <c r="E3" s="4" t="str" xml:space="preserve">
        <v xml:space="preserve">Finance Advisor $14,200 - LoE 19%
</v>
      </c>
      <c r="F3" s="4">
        <v>8</v>
      </c>
      <c r="G3" s="4">
        <v>2</v>
      </c>
    </row>
    <row r="4" ht="45" customHeight="1" xml:space="preserve">
      <c r="A4" s="4" t="str">
        <v>AOW00: Cross Cutting</v>
      </c>
      <c r="B4" s="4" t="str">
        <v>WorldFish</v>
      </c>
      <c r="C4" s="4" t="str">
        <v>Communication/Knowledge management</v>
      </c>
      <c r="D4" s="5">
        <v>26000</v>
      </c>
      <c r="E4" s="4" t="str" xml:space="preserve">
        <v xml:space="preserve">South Asia Communication Officer $6,000 - LoE 20% (From Financial Advisor fund deduction)
Allocation of CKM fund $20,000</v>
      </c>
      <c r="F4" s="4">
        <v>9</v>
      </c>
      <c r="G4" s="4">
        <v>5</v>
      </c>
    </row>
    <row r="5" ht="45" customHeight="1">
      <c r="A5" s="4" t="str">
        <v>AOW00: Cross Cutting</v>
      </c>
      <c r="B5" s="4" t="str">
        <v>WorldFish</v>
      </c>
      <c r="C5" s="4" t="str">
        <v>Operations</v>
      </c>
      <c r="D5" s="5">
        <v>26343</v>
      </c>
      <c r="E5" s="4" t="str">
        <v>Pulse and Reflect Workshop 17-19 Mar 2026 at Penang. In country Costs (Food, transport, Accommodation, Group Dinner) and WorldFish &amp; ICRISAT Delegate Airfare as well.</v>
      </c>
      <c r="F5" s="4">
        <v>10</v>
      </c>
      <c r="G5" s="4">
        <v>4</v>
      </c>
    </row>
    <row r="6" ht="45" customHeight="1" xml:space="preserve">
      <c r="A6" s="4" t="str">
        <v>AOW00: Cross Cutting</v>
      </c>
      <c r="B6" s="4" t="str">
        <v>WorldFish</v>
      </c>
      <c r="C6" s="4" t="str">
        <v>MELIA</v>
      </c>
      <c r="D6" s="5">
        <v>20000</v>
      </c>
      <c r="E6" s="4" t="str" xml:space="preserve">
        <v xml:space="preserve">MELIA staff time $15,000
MELIA Operation $5000</v>
      </c>
      <c r="F6" s="4">
        <v>59</v>
      </c>
      <c r="G6" s="4">
        <v>6</v>
      </c>
    </row>
    <row r="7" ht="25" customHeight="1">
      <c r="C7" s="9" t="str">
        <v>Cross-cutting budget subtotal</v>
      </c>
      <c r="D7" s="9">
        <v>141425</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111771</v>
      </c>
      <c r="C2" s="5">
        <v>1139851</v>
      </c>
      <c r="D2" s="5">
        <v>96363</v>
      </c>
      <c r="E2" s="5">
        <v>164627</v>
      </c>
      <c r="F2" s="5">
        <v>123572</v>
      </c>
      <c r="G2" s="5">
        <v>118683</v>
      </c>
      <c r="H2" s="5">
        <v>234978</v>
      </c>
      <c r="I2" s="5">
        <f>=SUM(B2:H2)</f>
        <v>0</v>
      </c>
    </row>
    <row r="3" ht="20" customHeight="1">
      <c r="A3" s="4" t="str">
        <v>Operations (supplies, consultants, travels, workshops, other)</v>
      </c>
      <c r="B3" s="5">
        <v>29654</v>
      </c>
      <c r="C3" s="5">
        <v>389062</v>
      </c>
      <c r="D3" s="5">
        <v>11317</v>
      </c>
      <c r="E3" s="5">
        <v>67214</v>
      </c>
      <c r="F3" s="5">
        <v>29604</v>
      </c>
      <c r="G3" s="5">
        <v>36291</v>
      </c>
      <c r="H3" s="5">
        <v>47574</v>
      </c>
      <c r="I3" s="5">
        <f>=SUM(B3:H3)</f>
        <v>0</v>
      </c>
    </row>
    <row r="4" ht="20" customHeight="1">
      <c r="A4" s="4" t="str">
        <v>Collaborators non-CGIAR centers</v>
      </c>
      <c r="B4" s="5">
        <v>0</v>
      </c>
      <c r="C4" s="5">
        <v>14452</v>
      </c>
      <c r="D4" s="5">
        <v>0</v>
      </c>
      <c r="E4" s="5">
        <v>3000</v>
      </c>
      <c r="F4" s="5">
        <v>0</v>
      </c>
      <c r="G4" s="5">
        <v>17000</v>
      </c>
      <c r="H4" s="5">
        <v>36900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Malaysia</v>
      </c>
      <c r="D2" s="5">
        <v>100</v>
      </c>
      <c r="E2" s="4">
        <v>17</v>
      </c>
    </row>
    <row r="3" ht="45" customHeight="1">
      <c r="A3" s="8" t="str">
        <v>AOW01: Productivity+</v>
      </c>
      <c r="B3" s="4" t="str">
        <v>WorldFish</v>
      </c>
      <c r="C3" s="4" t="str">
        <v>Bangladesh</v>
      </c>
      <c r="D3" s="5">
        <v>44</v>
      </c>
      <c r="E3" s="4">
        <v>725</v>
      </c>
    </row>
    <row r="4" ht="45" customHeight="1">
      <c r="A4" s="4" t="str">
        <v>AOW01: Productivity+</v>
      </c>
      <c r="B4" s="4" t="str">
        <v>WorldFish</v>
      </c>
      <c r="C4" s="4" t="str">
        <v>Côte d'Ivoire</v>
      </c>
      <c r="D4" s="5">
        <v>0</v>
      </c>
      <c r="E4" s="4">
        <v>2967</v>
      </c>
    </row>
    <row r="5" ht="45" customHeight="1">
      <c r="A5" s="4" t="str">
        <v>AOW01: Productivity+</v>
      </c>
      <c r="B5" s="4" t="str">
        <v>WorldFish</v>
      </c>
      <c r="C5" s="4" t="str">
        <v>Egypt</v>
      </c>
      <c r="D5" s="5">
        <v>9</v>
      </c>
      <c r="E5" s="4">
        <v>2968</v>
      </c>
    </row>
    <row r="6" ht="45" customHeight="1">
      <c r="A6" s="4" t="str">
        <v>AOW01: Productivity+</v>
      </c>
      <c r="B6" s="4" t="str">
        <v>WorldFish</v>
      </c>
      <c r="C6" s="4" t="str">
        <v>Fiji</v>
      </c>
      <c r="D6" s="5">
        <v>0</v>
      </c>
      <c r="E6" s="4">
        <v>2969</v>
      </c>
    </row>
    <row r="7" ht="45" customHeight="1">
      <c r="A7" s="4" t="str">
        <v>AOW01: Productivity+</v>
      </c>
      <c r="B7" s="4" t="str">
        <v>WorldFish</v>
      </c>
      <c r="C7" s="4" t="str">
        <v>Malaysia</v>
      </c>
      <c r="D7" s="5">
        <v>40</v>
      </c>
      <c r="E7" s="4">
        <v>726</v>
      </c>
    </row>
    <row r="8" ht="45" customHeight="1">
      <c r="A8" s="4" t="str">
        <v>AOW01: Productivity+</v>
      </c>
      <c r="B8" s="4" t="str">
        <v>WorldFish</v>
      </c>
      <c r="C8" s="4" t="str">
        <v>Nigeria</v>
      </c>
      <c r="D8" s="5">
        <v>1</v>
      </c>
      <c r="E8" s="4">
        <v>727</v>
      </c>
    </row>
    <row r="9" ht="45" customHeight="1">
      <c r="A9" s="4" t="str">
        <v>AOW01: Productivity+</v>
      </c>
      <c r="B9" s="4" t="str">
        <v>WorldFish</v>
      </c>
      <c r="C9" s="4" t="str">
        <v>Solomon Islands</v>
      </c>
      <c r="D9" s="5">
        <v>0</v>
      </c>
      <c r="E9" s="4">
        <v>728</v>
      </c>
    </row>
    <row r="10" ht="45" customHeight="1">
      <c r="A10" s="4" t="str">
        <v>AOW01: Productivity+</v>
      </c>
      <c r="B10" s="4" t="str">
        <v>WorldFish</v>
      </c>
      <c r="C10" s="4" t="str">
        <v>Zambia</v>
      </c>
      <c r="D10" s="5">
        <v>6</v>
      </c>
      <c r="E10" s="4">
        <v>2966</v>
      </c>
    </row>
    <row r="11" ht="45" customHeight="1">
      <c r="A11" s="8" t="str">
        <v>AOW02: Climate and the Environment</v>
      </c>
      <c r="B11" s="4" t="str">
        <v>WorldFish</v>
      </c>
      <c r="C11" s="4" t="str">
        <v>Bangladesh</v>
      </c>
      <c r="D11" s="5">
        <v>35</v>
      </c>
      <c r="E11" s="4">
        <v>331</v>
      </c>
    </row>
    <row r="12" ht="45" customHeight="1">
      <c r="A12" s="4" t="str">
        <v>AOW02: Climate and the Environment</v>
      </c>
      <c r="B12" s="4" t="str">
        <v>WorldFish</v>
      </c>
      <c r="C12" s="4" t="str">
        <v>Malaysia</v>
      </c>
      <c r="D12" s="5">
        <v>65</v>
      </c>
      <c r="E12" s="4">
        <v>329</v>
      </c>
    </row>
    <row r="13" ht="45" customHeight="1">
      <c r="A13" s="8" t="str">
        <v>AOW03: One Health</v>
      </c>
      <c r="B13" s="4" t="str">
        <v>WorldFish</v>
      </c>
      <c r="C13" s="4" t="str">
        <v>Bangladesh</v>
      </c>
      <c r="D13" s="5">
        <v>100</v>
      </c>
      <c r="E13" s="4">
        <v>328</v>
      </c>
    </row>
    <row r="14" ht="45" customHeight="1">
      <c r="A14" s="8" t="str">
        <v>AOW04: Market Systems, Policy Solutions and Scaling</v>
      </c>
      <c r="B14" s="4" t="str">
        <v>WorldFish</v>
      </c>
      <c r="C14" s="4" t="str">
        <v>Colombia</v>
      </c>
      <c r="D14" s="5">
        <v>0</v>
      </c>
      <c r="E14" s="4">
        <v>153</v>
      </c>
    </row>
    <row r="15" ht="45" customHeight="1">
      <c r="A15" s="4" t="str">
        <v>AOW04: Market Systems, Policy Solutions and Scaling</v>
      </c>
      <c r="B15" s="4" t="str">
        <v>WorldFish</v>
      </c>
      <c r="C15" s="4" t="str">
        <v>India</v>
      </c>
      <c r="D15" s="5">
        <v>74</v>
      </c>
      <c r="E15" s="4">
        <v>152</v>
      </c>
    </row>
    <row r="16" ht="45" customHeight="1">
      <c r="A16" s="4" t="str">
        <v>AOW04: Market Systems, Policy Solutions and Scaling</v>
      </c>
      <c r="B16" s="4" t="str">
        <v>WorldFish</v>
      </c>
      <c r="C16" s="4" t="str">
        <v>Kenya</v>
      </c>
      <c r="D16" s="5">
        <v>0</v>
      </c>
      <c r="E16" s="4">
        <v>154</v>
      </c>
    </row>
    <row r="17" ht="45" customHeight="1">
      <c r="A17" s="4" t="str">
        <v>AOW04: Market Systems, Policy Solutions and Scaling</v>
      </c>
      <c r="B17" s="4" t="str">
        <v>WorldFish</v>
      </c>
      <c r="C17" s="4" t="str">
        <v>Malaysia</v>
      </c>
      <c r="D17" s="5">
        <v>26</v>
      </c>
      <c r="E17" s="4">
        <v>155</v>
      </c>
    </row>
    <row r="18" ht="45" customHeight="1">
      <c r="A18" s="8" t="str">
        <v>AOW05: Gender, Youth and Social Inclusion</v>
      </c>
      <c r="B18" s="4" t="str">
        <v>WorldFish</v>
      </c>
      <c r="C18" s="4" t="str">
        <v>Kenya</v>
      </c>
      <c r="D18" s="5">
        <v>90</v>
      </c>
      <c r="E18" s="4">
        <v>351</v>
      </c>
    </row>
    <row r="19" ht="45" customHeight="1">
      <c r="A19" s="4" t="str">
        <v>AOW05: Gender, Youth and Social Inclusion</v>
      </c>
      <c r="B19" s="4" t="str">
        <v>WorldFish</v>
      </c>
      <c r="C19" s="4" t="str">
        <v>Malaysia</v>
      </c>
      <c r="D19" s="5">
        <v>0</v>
      </c>
      <c r="E19" s="4">
        <v>352</v>
      </c>
    </row>
    <row r="20" ht="45" customHeight="1">
      <c r="A20" s="4" t="str">
        <v>AOW05: Gender, Youth and Social Inclusion</v>
      </c>
      <c r="B20" s="4" t="str">
        <v>WorldFish</v>
      </c>
      <c r="C20" s="4" t="str">
        <v>Tanzania</v>
      </c>
      <c r="D20" s="5">
        <v>10</v>
      </c>
      <c r="E20" s="4">
        <v>350</v>
      </c>
    </row>
    <row r="21" ht="45" customHeight="1">
      <c r="A21" s="4" t="str">
        <v>AOW05: Gender, Youth and Social Inclusion</v>
      </c>
      <c r="B21" s="4" t="str">
        <v>WorldFish</v>
      </c>
      <c r="C21" s="4" t="str">
        <v>United Republic</v>
      </c>
      <c r="D21" s="5">
        <v>0</v>
      </c>
      <c r="E21" s="4">
        <v>2970</v>
      </c>
    </row>
    <row r="22" ht="45" customHeight="1">
      <c r="A22" s="8" t="str">
        <v>AOW06: Data and Digital Solutions</v>
      </c>
      <c r="B22" s="4" t="str">
        <v>WorldFish</v>
      </c>
      <c r="C22" s="4" t="str">
        <v>Ghana</v>
      </c>
      <c r="D22" s="5">
        <v>0</v>
      </c>
      <c r="E22" s="4">
        <v>147</v>
      </c>
    </row>
    <row r="23" ht="45" customHeight="1">
      <c r="A23" s="4" t="str">
        <v>AOW06: Data and Digital Solutions</v>
      </c>
      <c r="B23" s="4" t="str">
        <v>WorldFish</v>
      </c>
      <c r="C23" s="4" t="str">
        <v>Kenya</v>
      </c>
      <c r="D23" s="5">
        <v>0</v>
      </c>
      <c r="E23" s="4">
        <v>148</v>
      </c>
    </row>
    <row r="24" ht="45" customHeight="1">
      <c r="A24" s="4" t="str">
        <v>AOW06: Data and Digital Solutions</v>
      </c>
      <c r="B24" s="4" t="str">
        <v>WorldFish</v>
      </c>
      <c r="C24" s="4" t="str">
        <v>Malaysia</v>
      </c>
      <c r="D24" s="5">
        <v>100</v>
      </c>
      <c r="E24" s="4">
        <v>149</v>
      </c>
    </row>
    <row r="25" ht="45" customHeight="1">
      <c r="A25" s="4" t="str">
        <v>AOW06: Data and Digital Solutions</v>
      </c>
      <c r="B25" s="4" t="str">
        <v>WorldFish</v>
      </c>
      <c r="C25" s="4" t="str">
        <v>Nigeria</v>
      </c>
      <c r="D25" s="5">
        <v>0</v>
      </c>
      <c r="E25" s="4">
        <v>151</v>
      </c>
    </row>
    <row r="26" ht="45" customHeight="1">
      <c r="A26" s="4" t="str">
        <v>AOW06: Data and Digital Solutions</v>
      </c>
      <c r="B26" s="4" t="str">
        <v>WorldFish</v>
      </c>
      <c r="C26" s="4" t="str">
        <v>Tanzania</v>
      </c>
      <c r="D26" s="5">
        <v>0</v>
      </c>
      <c r="E26" s="4">
        <v>150</v>
      </c>
    </row>
  </sheetData>
  <mergeCells count="7">
    <mergeCell ref="A2"/>
    <mergeCell ref="A3:A10"/>
    <mergeCell ref="A11:A12"/>
    <mergeCell ref="A13"/>
    <mergeCell ref="A14:A17"/>
    <mergeCell ref="A18:A21"/>
    <mergeCell ref="A22:A26"/>
  </mergeCells>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F2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220</v>
      </c>
    </row>
    <row r="3" ht="45" customHeight="1">
      <c r="A3" s="4" t="str">
        <v>AOW00: Cross Cutting</v>
      </c>
      <c r="B3" s="4" t="str">
        <v>WorldFish</v>
      </c>
      <c r="C3" s="4" t="str">
        <v>Bangladesh</v>
      </c>
      <c r="D3" s="4" t="str">
        <v>country</v>
      </c>
      <c r="E3" s="5">
        <v>0</v>
      </c>
      <c r="F3" s="4">
        <v>221</v>
      </c>
    </row>
    <row r="4" ht="45" customHeight="1">
      <c r="A4" s="4" t="str">
        <v>AOW00: Cross Cutting</v>
      </c>
      <c r="B4" s="4" t="str">
        <v>WorldFish</v>
      </c>
      <c r="C4" s="4" t="str">
        <v>Ghana</v>
      </c>
      <c r="D4" s="4" t="str">
        <v>country</v>
      </c>
      <c r="E4" s="5">
        <v>0</v>
      </c>
      <c r="F4" s="4">
        <v>222</v>
      </c>
    </row>
    <row r="5" ht="45" customHeight="1">
      <c r="A5" s="4" t="str">
        <v>AOW00: Cross Cutting</v>
      </c>
      <c r="B5" s="4" t="str">
        <v>WorldFish</v>
      </c>
      <c r="C5" s="4" t="str">
        <v>India</v>
      </c>
      <c r="D5" s="4" t="str">
        <v>country</v>
      </c>
      <c r="E5" s="5">
        <v>0</v>
      </c>
      <c r="F5" s="4">
        <v>223</v>
      </c>
    </row>
    <row r="6" ht="45" customHeight="1">
      <c r="A6" s="4" t="str">
        <v>AOW00: Cross Cutting</v>
      </c>
      <c r="B6" s="4" t="str">
        <v>WorldFish</v>
      </c>
      <c r="C6" s="4" t="str">
        <v>Kenya</v>
      </c>
      <c r="D6" s="4" t="str">
        <v>country</v>
      </c>
      <c r="E6" s="5">
        <v>0</v>
      </c>
      <c r="F6" s="4">
        <v>224</v>
      </c>
    </row>
    <row r="7" ht="45" customHeight="1">
      <c r="A7" s="4" t="str">
        <v>AOW00: Cross Cutting</v>
      </c>
      <c r="B7" s="4" t="str">
        <v>WorldFish</v>
      </c>
      <c r="C7" s="4" t="str">
        <v>Tanzania</v>
      </c>
      <c r="D7" s="4" t="str">
        <v>country</v>
      </c>
      <c r="E7" s="5">
        <v>0</v>
      </c>
      <c r="F7" s="4">
        <v>225</v>
      </c>
    </row>
    <row r="8" ht="45" customHeight="1">
      <c r="A8" s="8" t="str">
        <v>AOW01: Productivity+</v>
      </c>
      <c r="B8" s="4" t="str">
        <v>WorldFish</v>
      </c>
      <c r="C8" s="4" t="str">
        <v>Global</v>
      </c>
      <c r="D8" s="4" t="str">
        <v>global</v>
      </c>
      <c r="E8" s="5">
        <v>100</v>
      </c>
      <c r="F8" s="4">
        <v>219</v>
      </c>
    </row>
    <row r="9" ht="45" customHeight="1">
      <c r="A9" s="8" t="str">
        <v>AOW02: Climate and the Environment</v>
      </c>
      <c r="B9" s="4" t="str">
        <v>WorldFish</v>
      </c>
      <c r="C9" s="4" t="str">
        <v>Global</v>
      </c>
      <c r="D9" s="4" t="str">
        <v>global</v>
      </c>
      <c r="E9" s="5">
        <v>60</v>
      </c>
      <c r="F9" s="4">
        <v>1141</v>
      </c>
    </row>
    <row r="10" ht="45" customHeight="1">
      <c r="A10" s="4" t="str">
        <v>AOW02: Climate and the Environment</v>
      </c>
      <c r="B10" s="4" t="str">
        <v>WorldFish</v>
      </c>
      <c r="C10" s="4" t="str">
        <v>Bangladesh</v>
      </c>
      <c r="D10" s="4" t="str">
        <v>country</v>
      </c>
      <c r="E10" s="5">
        <v>10</v>
      </c>
      <c r="F10" s="4">
        <v>176</v>
      </c>
    </row>
    <row r="11" ht="45" customHeight="1">
      <c r="A11" s="4" t="str">
        <v>AOW02: Climate and the Environment</v>
      </c>
      <c r="B11" s="4" t="str">
        <v>WorldFish</v>
      </c>
      <c r="C11" s="4" t="str">
        <v>Colombia</v>
      </c>
      <c r="D11" s="4" t="str">
        <v>country</v>
      </c>
      <c r="E11" s="5">
        <v>0</v>
      </c>
      <c r="F11" s="4">
        <v>175</v>
      </c>
    </row>
    <row r="12" ht="45" customHeight="1">
      <c r="A12" s="4" t="str">
        <v>AOW02: Climate and the Environment</v>
      </c>
      <c r="B12" s="4" t="str">
        <v>WorldFish</v>
      </c>
      <c r="C12" s="4" t="str">
        <v>Ghana</v>
      </c>
      <c r="D12" s="4" t="str">
        <v>country</v>
      </c>
      <c r="E12" s="5">
        <v>10</v>
      </c>
      <c r="F12" s="4">
        <v>177</v>
      </c>
    </row>
    <row r="13" ht="45" customHeight="1">
      <c r="A13" s="4" t="str">
        <v>AOW02: Climate and the Environment</v>
      </c>
      <c r="B13" s="4" t="str">
        <v>WorldFish</v>
      </c>
      <c r="C13" s="4" t="str">
        <v>India</v>
      </c>
      <c r="D13" s="4" t="str">
        <v>country</v>
      </c>
      <c r="E13" s="5">
        <v>10</v>
      </c>
      <c r="F13" s="4">
        <v>178</v>
      </c>
    </row>
    <row r="14" ht="45" customHeight="1">
      <c r="A14" s="4" t="str">
        <v>AOW02: Climate and the Environment</v>
      </c>
      <c r="B14" s="4" t="str">
        <v>WorldFish</v>
      </c>
      <c r="C14" s="4" t="str">
        <v>Kenya</v>
      </c>
      <c r="D14" s="4" t="str">
        <v>country</v>
      </c>
      <c r="E14" s="5">
        <v>10</v>
      </c>
      <c r="F14" s="4">
        <v>179</v>
      </c>
    </row>
    <row r="15" ht="45" customHeight="1">
      <c r="A15" s="8" t="str">
        <v>AOW03: One Health</v>
      </c>
      <c r="B15" s="4" t="str">
        <v>WorldFish</v>
      </c>
      <c r="C15" s="4" t="str">
        <v>Global</v>
      </c>
      <c r="D15" s="4" t="str">
        <v>global</v>
      </c>
      <c r="E15" s="5">
        <v>0</v>
      </c>
      <c r="F15" s="4">
        <v>173</v>
      </c>
    </row>
    <row r="16" ht="45" customHeight="1">
      <c r="A16" s="4" t="str">
        <v>AOW03: One Health</v>
      </c>
      <c r="B16" s="4" t="str">
        <v>WorldFish</v>
      </c>
      <c r="C16" s="4" t="str">
        <v>Bangladesh</v>
      </c>
      <c r="D16" s="4" t="str">
        <v>country</v>
      </c>
      <c r="E16" s="5">
        <v>100</v>
      </c>
      <c r="F16" s="4">
        <v>174</v>
      </c>
    </row>
    <row r="17" ht="45" customHeight="1">
      <c r="A17" s="8" t="str">
        <v>AOW04: Market Systems, Policy Solutions and Scaling</v>
      </c>
      <c r="B17" s="4" t="str">
        <v>WorldFish</v>
      </c>
      <c r="C17" s="4" t="str">
        <v>Global</v>
      </c>
      <c r="D17" s="4" t="str">
        <v>global</v>
      </c>
      <c r="E17" s="5">
        <v>26</v>
      </c>
      <c r="F17" s="4">
        <v>191</v>
      </c>
    </row>
    <row r="18" ht="45" customHeight="1">
      <c r="A18" s="4" t="str">
        <v>AOW04: Market Systems, Policy Solutions and Scaling</v>
      </c>
      <c r="B18" s="4" t="str">
        <v>WorldFish</v>
      </c>
      <c r="C18" s="4" t="str">
        <v>India</v>
      </c>
      <c r="D18" s="4" t="str">
        <v>country</v>
      </c>
      <c r="E18" s="5">
        <v>74</v>
      </c>
      <c r="F18" s="4">
        <v>1142</v>
      </c>
    </row>
    <row r="19" ht="45" customHeight="1">
      <c r="A19" s="8" t="str">
        <v>AOW05: Gender, Youth and Social Inclusion</v>
      </c>
      <c r="B19" s="4" t="str">
        <v>WorldFish</v>
      </c>
      <c r="C19" s="4" t="str">
        <v>Kenya</v>
      </c>
      <c r="D19" s="4" t="str">
        <v>country</v>
      </c>
      <c r="E19" s="5">
        <v>90</v>
      </c>
      <c r="F19" s="4">
        <v>193</v>
      </c>
    </row>
    <row r="20" ht="45" customHeight="1">
      <c r="A20" s="4" t="str">
        <v>AOW05: Gender, Youth and Social Inclusion</v>
      </c>
      <c r="B20" s="4" t="str">
        <v>WorldFish</v>
      </c>
      <c r="C20" s="4" t="str">
        <v>Tanzania, United Republic</v>
      </c>
      <c r="D20" s="4" t="str">
        <v>country</v>
      </c>
      <c r="E20" s="5">
        <v>10</v>
      </c>
      <c r="F20" s="4">
        <v>192</v>
      </c>
    </row>
    <row r="21" ht="45" customHeight="1">
      <c r="A21" s="8" t="str">
        <v>AOW06: Data and Digital Solutions</v>
      </c>
      <c r="B21" s="4" t="str">
        <v>WorldFish</v>
      </c>
      <c r="C21" s="4" t="str">
        <v>Global</v>
      </c>
      <c r="D21" s="4" t="str">
        <v>global</v>
      </c>
      <c r="E21" s="5">
        <v>100</v>
      </c>
      <c r="F21" s="4">
        <v>130</v>
      </c>
    </row>
  </sheetData>
  <mergeCells count="7">
    <mergeCell ref="A2:A7"/>
    <mergeCell ref="A8"/>
    <mergeCell ref="A9:A14"/>
    <mergeCell ref="A15:A16"/>
    <mergeCell ref="A17:A18"/>
    <mergeCell ref="A19:A20"/>
    <mergeCell ref="A21"/>
  </mergeCells>
  <ignoredErrors>
    <ignoredError numberStoredAsText="1" sqref="A1:F21"/>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