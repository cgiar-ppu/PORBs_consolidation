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148505</v>
      </c>
      <c r="K4" s="5">
        <v>148505</v>
      </c>
      <c r="L4" s="5">
        <v>0</v>
      </c>
      <c r="M4" s="5">
        <v>148505</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1</v>
      </c>
      <c r="C6" s="5">
        <v>200000</v>
      </c>
      <c r="D6" s="5">
        <v>0</v>
      </c>
      <c r="E6" s="5">
        <v>0</v>
      </c>
      <c r="F6" s="5">
        <v>0</v>
      </c>
      <c r="G6" s="5">
        <v>0</v>
      </c>
      <c r="H6" s="5">
        <v>0</v>
      </c>
      <c r="I6" s="5">
        <v>0</v>
      </c>
      <c r="J6" s="5">
        <v>200000</v>
      </c>
      <c r="K6" s="5">
        <v>200000</v>
      </c>
      <c r="L6" s="5">
        <v>20000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200000</v>
      </c>
      <c r="D11" s="7" t="str">
        <v/>
      </c>
      <c r="E11" s="7">
        <v>0</v>
      </c>
      <c r="F11" s="7" t="str">
        <v/>
      </c>
      <c r="G11" s="7">
        <v>0</v>
      </c>
      <c r="H11" s="7" t="str">
        <v/>
      </c>
      <c r="I11" s="7">
        <v>0</v>
      </c>
      <c r="J11" s="7">
        <v>348505</v>
      </c>
      <c r="K11" s="7">
        <v>348505</v>
      </c>
      <c r="L11" s="7">
        <v>20000</v>
      </c>
      <c r="M11" s="7">
        <v>148505</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Market Systems</v>
      </c>
      <c r="B3" s="4" t="str">
        <v>ICARDA</v>
      </c>
      <c r="C3" s="4" t="str">
        <v>Suite of solutions focused on farm input dealers, food traders, processors, and/or retailers that promote food quality and safety, reduce food loss, improve efficiency, and/or facilitate intermediation developed and tested with technical support and country engagement</v>
      </c>
      <c r="D3" s="4" t="str">
        <v>Information campaign to improve milk quality and safety in Ethiopia.36</v>
      </c>
      <c r="E3" s="4" t="str">
        <v>Number of innovations (innovation development)</v>
      </c>
      <c r="F3" s="4" t="str">
        <v>Morocco, Belgium, Kenya, Ethiopia</v>
      </c>
      <c r="G3" s="5">
        <v>1</v>
      </c>
      <c r="H3" s="5">
        <v>200000</v>
      </c>
      <c r="I3" s="4" t="str">
        <v>Estimated costs for time of interdisciplinary teams of researchers and local partners, data collection costs</v>
      </c>
      <c r="J3" s="4">
        <v>7969</v>
      </c>
    </row>
    <row r="4" ht="25" customHeight="1">
      <c r="C4" s="9" t="str">
        <v>HLO budget subtotal</v>
      </c>
      <c r="H4" s="9">
        <v>200000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Market Systems</v>
      </c>
      <c r="B2" s="4" t="str">
        <v>Ethiopian Conformity Assessment Enterprise</v>
      </c>
      <c r="C2" s="4" t="str">
        <v>ICARDA</v>
      </c>
      <c r="D2" s="4" t="str">
        <v>Ethiopia</v>
      </c>
      <c r="E2" s="5">
        <v>10000</v>
      </c>
      <c r="F2" s="4" t="str">
        <v>Agreement on ToR, deliverables, timelines and costs.</v>
      </c>
      <c r="G2" s="4">
        <v>417</v>
      </c>
    </row>
    <row r="3" ht="50" customHeight="1">
      <c r="A3" s="4" t="str">
        <v>AOW02: Market Systems</v>
      </c>
      <c r="B3" s="4" t="str">
        <v>Addis Ababa Farmers and Urban Agriculture Development Commission</v>
      </c>
      <c r="C3" s="4" t="str">
        <v>ICARDA</v>
      </c>
      <c r="D3" s="4" t="str">
        <v>Ethiopia</v>
      </c>
      <c r="E3" s="5">
        <v>10000</v>
      </c>
      <c r="F3" s="4" t="str">
        <v>Agreement on ToR, deliverables, timelines and costs.</v>
      </c>
      <c r="G3" s="4">
        <v>418</v>
      </c>
    </row>
    <row r="4" ht="25" customHeight="1">
      <c r="B4" s="9" t="str">
        <v>Contracted partners subtotal</v>
      </c>
      <c r="E4" s="9">
        <v>20000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2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 xml:space="preserve">Actor Engagement and Assumption Validation </v>
      </c>
      <c r="D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 s="4" t="str">
        <v>N/A</v>
      </c>
      <c r="F2" s="5">
        <v>42236</v>
      </c>
      <c r="G2"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2" s="4">
        <v>340</v>
      </c>
    </row>
    <row r="3" ht="60" customHeight="1">
      <c r="A3" s="4" t="str">
        <v>AOW00: Cross Cutting</v>
      </c>
      <c r="B3" s="4" t="str">
        <v>ICARDA</v>
      </c>
      <c r="C3" s="4" t="str">
        <v>Configuration and Integration of AoWs</v>
      </c>
      <c r="D3" s="4" t="str">
        <v>Food producers, traders, processors, and/or retailers adopt evidence-based solutions to improve food safety and quality in target markets​ Food traders, processors, and/or retailers adopt effective components of bundled solutions to reduce food loss and waste</v>
      </c>
      <c r="E3" s="4" t="str">
        <v>N/A</v>
      </c>
      <c r="F3" s="5">
        <v>37126</v>
      </c>
      <c r="G3"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3" s="4">
        <v>344</v>
      </c>
    </row>
    <row r="4" ht="60" customHeight="1">
      <c r="A4" s="4" t="str">
        <v>AOW00: Cross Cutting</v>
      </c>
      <c r="B4" s="4" t="str">
        <v>ICARDA</v>
      </c>
      <c r="C4" s="4" t="str">
        <v>Strategic Coherence Across Geographies</v>
      </c>
      <c r="D4" s="4" t="str">
        <v>Producers and processors adopt and scale biofortified and health-enhancing crops</v>
      </c>
      <c r="E4" s="4" t="str">
        <v>N/A</v>
      </c>
      <c r="F4" s="5">
        <v>0</v>
      </c>
      <c r="G4" s="4" t="str">
        <v/>
      </c>
      <c r="H4" s="4">
        <v>349</v>
      </c>
    </row>
    <row r="5" ht="60" customHeight="1">
      <c r="A5" s="4" t="str">
        <v>AOW00: Cross Cutting</v>
      </c>
      <c r="B5" s="4" t="str">
        <v>ICARDA</v>
      </c>
      <c r="C5" s="4" t="str">
        <v>Value Addition of W3/Bilateral Projects</v>
      </c>
      <c r="D5" s="4" t="str">
        <v>Consumers demand and consume sustainable healthy diets</v>
      </c>
      <c r="E5" s="4" t="str">
        <v>N/A</v>
      </c>
      <c r="F5" s="5">
        <v>0</v>
      </c>
      <c r="G5" s="4" t="str">
        <v/>
      </c>
      <c r="H5" s="4">
        <v>352</v>
      </c>
    </row>
    <row r="6" ht="60" customHeight="1">
      <c r="A6" s="4" t="str">
        <v>AOW00: Cross Cutting</v>
      </c>
      <c r="B6" s="4" t="str">
        <v>ICARDA</v>
      </c>
      <c r="C6" s="4" t="str">
        <v>Internal Learning and Use of MELIA Results</v>
      </c>
      <c r="D6" s="4" t="str">
        <v>Consumers demand and consume sustainable healthy diets</v>
      </c>
      <c r="E6" s="4" t="str">
        <v>N/A</v>
      </c>
      <c r="F6" s="5">
        <v>42237</v>
      </c>
      <c r="G6"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6" s="4">
        <v>353</v>
      </c>
    </row>
    <row r="7" ht="60" customHeight="1">
      <c r="A7" s="4" t="str">
        <v>AOW00: Cross Cutting</v>
      </c>
      <c r="B7" s="4" t="str">
        <v>ICARDA</v>
      </c>
      <c r="C7" s="4" t="str">
        <v>Portfolio-Level Nutrition Contribution</v>
      </c>
      <c r="D7" s="4" t="str">
        <v>Consumers demand and consume sustainable healthy diets</v>
      </c>
      <c r="E7" s="4" t="str">
        <v>N/A</v>
      </c>
      <c r="F7" s="5">
        <v>26906</v>
      </c>
      <c r="G7"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7" s="4">
        <v>354</v>
      </c>
    </row>
    <row r="8" ht="25" customHeight="1">
      <c r="C8" s="9" t="str">
        <v>MELIA budget subtotal</v>
      </c>
      <c r="F8" s="9">
        <v>148505</v>
      </c>
      <c r="G8" s="9" t="str">
        <v/>
      </c>
      <c r="H8" s="9" t="str">
        <v/>
      </c>
    </row>
    <row r="9" ht="60" customHeight="1">
      <c r="A9" s="8" t="str">
        <v>AOW01: Consumers and Food Environments</v>
      </c>
      <c r="B9" s="4" t="str">
        <v>ICARDA</v>
      </c>
      <c r="C9" s="4" t="str">
        <v xml:space="preserve">Actor Engagement and Assumption Validation </v>
      </c>
      <c r="D9"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9" s="4" t="str">
        <v>N/A</v>
      </c>
      <c r="F9" s="5">
        <v>0</v>
      </c>
      <c r="G9" s="4" t="str">
        <v/>
      </c>
      <c r="H9" s="4">
        <v>338</v>
      </c>
    </row>
    <row r="10" ht="60" customHeight="1">
      <c r="A10" s="4" t="str">
        <v>AOW01: Consumers and Food Environments</v>
      </c>
      <c r="B10" s="4" t="str">
        <v>ICARDA</v>
      </c>
      <c r="C10" s="4" t="str">
        <v>Configuration and Integration of AoWs</v>
      </c>
      <c r="D10" s="4" t="str">
        <v>Food producers, traders, processors, and/or retailers adopt evidence-based solutions to improve food safety and quality in target markets​ Food traders, processors, and/or retailers adopt effective components of bundled solutions to reduce food loss and waste</v>
      </c>
      <c r="E10" s="4" t="str">
        <v>N/A</v>
      </c>
      <c r="F10" s="5">
        <v>0</v>
      </c>
      <c r="G10" s="4" t="str">
        <v/>
      </c>
      <c r="H10" s="4">
        <v>342</v>
      </c>
    </row>
    <row r="11" ht="60" customHeight="1">
      <c r="A11" s="4" t="str">
        <v>AOW01: Consumers and Food Environments</v>
      </c>
      <c r="B11" s="4" t="str">
        <v>ICARDA</v>
      </c>
      <c r="C11" s="4" t="str">
        <v>Strategic Coherence Across Geographies</v>
      </c>
      <c r="D11" s="4" t="str">
        <v>Producers and processors adopt and scale biofortified and health-enhancing crops</v>
      </c>
      <c r="E11" s="4" t="str">
        <v>N/A</v>
      </c>
      <c r="F11" s="5">
        <v>0</v>
      </c>
      <c r="G11" s="4" t="str">
        <v/>
      </c>
      <c r="H11" s="4">
        <v>347</v>
      </c>
    </row>
    <row r="12" ht="25" customHeight="1">
      <c r="C12" s="9" t="str">
        <v>MELIA budget subtotal</v>
      </c>
      <c r="F12" s="9">
        <v>0</v>
      </c>
      <c r="G12" s="9" t="str">
        <v/>
      </c>
      <c r="H12" s="9" t="str">
        <v/>
      </c>
    </row>
    <row r="13" ht="60" customHeight="1">
      <c r="A13" s="8" t="str">
        <v>AOW02: Market Systems</v>
      </c>
      <c r="B13" s="4" t="str">
        <v>ICARDA</v>
      </c>
      <c r="C13" s="4" t="str">
        <v xml:space="preserve">Actor Engagement and Assumption Validation </v>
      </c>
      <c r="D13"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3" s="4" t="str">
        <v>N/A</v>
      </c>
      <c r="F13" s="5">
        <v>0</v>
      </c>
      <c r="G13" s="4" t="str">
        <v/>
      </c>
      <c r="H13" s="4">
        <v>339</v>
      </c>
    </row>
    <row r="14" ht="60" customHeight="1">
      <c r="A14" s="4" t="str">
        <v>AOW02: Market Systems</v>
      </c>
      <c r="B14" s="4" t="str">
        <v>ICARDA</v>
      </c>
      <c r="C14" s="4" t="str">
        <v>Configuration and Integration of AoWs</v>
      </c>
      <c r="D14" s="4" t="str">
        <v>Food producers, traders, processors, and/or retailers adopt evidence-based solutions to improve food safety and quality in target markets​ Food traders, processors, and/or retailers adopt effective components of bundled solutions to reduce food loss and waste</v>
      </c>
      <c r="E14" s="4" t="str">
        <v>N/A</v>
      </c>
      <c r="F14" s="5">
        <v>0</v>
      </c>
      <c r="G14" s="4" t="str">
        <v/>
      </c>
      <c r="H14" s="4">
        <v>343</v>
      </c>
    </row>
    <row r="15" ht="60" customHeight="1">
      <c r="A15" s="4" t="str">
        <v>AOW02: Market Systems</v>
      </c>
      <c r="B15" s="4" t="str">
        <v>ICARDA</v>
      </c>
      <c r="C15" s="4" t="str">
        <v>Strategic Coherence Across Geographies</v>
      </c>
      <c r="D15" s="4" t="str">
        <v>Producers and processors adopt and scale biofortified and health-enhancing crops</v>
      </c>
      <c r="E15" s="4" t="str">
        <v>N/A</v>
      </c>
      <c r="F15" s="5">
        <v>0</v>
      </c>
      <c r="G15" s="4" t="str">
        <v/>
      </c>
      <c r="H15" s="4">
        <v>348</v>
      </c>
    </row>
    <row r="16" ht="25" customHeight="1">
      <c r="C16" s="9" t="str">
        <v>MELIA budget subtotal</v>
      </c>
      <c r="F16" s="9">
        <v>0</v>
      </c>
      <c r="G16" s="9" t="str">
        <v/>
      </c>
      <c r="H16" s="9" t="str">
        <v/>
      </c>
    </row>
    <row r="17" ht="60" customHeight="1">
      <c r="A17" s="8" t="str">
        <v>AOW03: End-to-end Solutions</v>
      </c>
      <c r="B17" s="4" t="str">
        <v>ICARDA</v>
      </c>
      <c r="C17" s="4" t="str">
        <v xml:space="preserve">Actor Engagement and Assumption Validation </v>
      </c>
      <c r="D17"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7" s="4" t="str">
        <v>N/A</v>
      </c>
      <c r="F17" s="5">
        <v>0</v>
      </c>
      <c r="G17" s="4" t="str">
        <v/>
      </c>
      <c r="H17" s="4">
        <v>337</v>
      </c>
    </row>
    <row r="18" ht="60" customHeight="1">
      <c r="A18" s="4" t="str">
        <v>AOW03: End-to-end Solutions</v>
      </c>
      <c r="B18" s="4" t="str">
        <v>ICARDA</v>
      </c>
      <c r="C18" s="4" t="str">
        <v>Configuration and Integration of AoWs</v>
      </c>
      <c r="D18" s="4" t="str">
        <v>Food producers, traders, processors, and/or retailers adopt evidence-based solutions to improve food safety and quality in target markets​ Food traders, processors, and/or retailers adopt effective components of bundled solutions to reduce food loss and waste</v>
      </c>
      <c r="E18" s="4" t="str">
        <v>N/A</v>
      </c>
      <c r="F18" s="5">
        <v>0</v>
      </c>
      <c r="G18" s="4" t="str">
        <v/>
      </c>
      <c r="H18" s="4">
        <v>341</v>
      </c>
    </row>
    <row r="19" ht="60" customHeight="1">
      <c r="A19" s="4" t="str">
        <v>AOW03: End-to-end Solutions</v>
      </c>
      <c r="B19" s="4" t="str">
        <v>ICARDA</v>
      </c>
      <c r="C19" s="4" t="str">
        <v>Strategic Coherence Across Geographies</v>
      </c>
      <c r="D19" s="4" t="str">
        <v>Producers and processors adopt and scale biofortified and health-enhancing crops</v>
      </c>
      <c r="E19" s="4" t="str">
        <v>N/A</v>
      </c>
      <c r="F19" s="5">
        <v>0</v>
      </c>
      <c r="G19" s="4" t="str">
        <v/>
      </c>
      <c r="H19" s="4">
        <v>346</v>
      </c>
    </row>
    <row r="20" ht="25" customHeight="1">
      <c r="C20" s="9" t="str">
        <v>MELIA budget subtotal</v>
      </c>
      <c r="F20" s="9">
        <v>0</v>
      </c>
      <c r="G20" s="9" t="str">
        <v/>
      </c>
      <c r="H20" s="9" t="str">
        <v/>
      </c>
    </row>
    <row r="21" ht="60" customHeight="1">
      <c r="A21" s="8" t="str">
        <v>AOW04: Biofortified and Health-enhancing Staples</v>
      </c>
      <c r="B21" s="4" t="str">
        <v>ICARDA</v>
      </c>
      <c r="C21" s="4" t="str">
        <v xml:space="preserve">Actor Engagement and Assumption Validation </v>
      </c>
      <c r="D21"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1" s="4" t="str">
        <v>N/A</v>
      </c>
      <c r="F21" s="5">
        <v>0</v>
      </c>
      <c r="G21" s="4" t="str">
        <v/>
      </c>
      <c r="H21" s="4">
        <v>336</v>
      </c>
    </row>
    <row r="22" ht="60" customHeight="1">
      <c r="A22" s="4" t="str">
        <v>AOW04: Biofortified and Health-enhancing Staples</v>
      </c>
      <c r="B22" s="4" t="str">
        <v>ICARDA</v>
      </c>
      <c r="C22" s="4" t="str">
        <v>Strategic Coherence Across Geographies</v>
      </c>
      <c r="D22" s="4" t="str">
        <v>Producers and processors adopt and scale biofortified and health-enhancing crops</v>
      </c>
      <c r="E22" s="4" t="str">
        <v>N/A</v>
      </c>
      <c r="F22" s="5">
        <v>0</v>
      </c>
      <c r="G22" s="4" t="str">
        <v/>
      </c>
      <c r="H22" s="4">
        <v>345</v>
      </c>
    </row>
    <row r="23" ht="25" customHeight="1">
      <c r="C23" s="9" t="str">
        <v>MELIA budget subtotal</v>
      </c>
      <c r="F23" s="9">
        <v>0</v>
      </c>
      <c r="G23" s="9" t="str">
        <v/>
      </c>
      <c r="H23" s="9" t="str">
        <v/>
      </c>
    </row>
    <row r="24" ht="60" customHeight="1">
      <c r="A24" s="8" t="str">
        <v>AOW05: Multisectoral systems</v>
      </c>
      <c r="B24" s="4" t="str">
        <v>ICARDA</v>
      </c>
      <c r="C24" s="4" t="str">
        <v xml:space="preserve">Actor Engagement and Assumption Validation </v>
      </c>
      <c r="D24"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4" s="4" t="str">
        <v>N/A</v>
      </c>
      <c r="F24" s="5">
        <v>0</v>
      </c>
      <c r="G24" s="4" t="str">
        <v/>
      </c>
      <c r="H24" s="4">
        <v>335</v>
      </c>
    </row>
    <row r="25" ht="25" customHeight="1">
      <c r="C25" s="9" t="str">
        <v>MELIA budget subtotal</v>
      </c>
      <c r="F25" s="9">
        <v>0</v>
      </c>
      <c r="G25" s="9" t="str">
        <v/>
      </c>
      <c r="H25" s="9" t="str">
        <v/>
      </c>
    </row>
    <row r="26" ht="60" customHeight="1">
      <c r="A26" s="8" t="str">
        <v>AOW06: Transformative leadership</v>
      </c>
      <c r="B26" s="4" t="str">
        <v>ICARDA</v>
      </c>
      <c r="C26" s="4" t="str">
        <v xml:space="preserve">Actor Engagement and Assumption Validation </v>
      </c>
      <c r="D26"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6" s="4" t="str">
        <v>N/A</v>
      </c>
      <c r="F26" s="5">
        <v>0</v>
      </c>
      <c r="G26" s="4" t="str">
        <v/>
      </c>
      <c r="H26" s="4">
        <v>334</v>
      </c>
    </row>
    <row r="27" ht="25" customHeight="1">
      <c r="C27" s="9" t="str">
        <v>MELIA budget subtotal</v>
      </c>
      <c r="F27" s="9">
        <v>0</v>
      </c>
      <c r="G27" s="9" t="str">
        <v/>
      </c>
      <c r="H27" s="9" t="str">
        <v/>
      </c>
    </row>
  </sheetData>
  <mergeCells count="14">
    <mergeCell ref="C8:E8"/>
    <mergeCell ref="A2:A8"/>
    <mergeCell ref="C12:E12"/>
    <mergeCell ref="A9:A12"/>
    <mergeCell ref="C16:E16"/>
    <mergeCell ref="A13:A16"/>
    <mergeCell ref="C20:E20"/>
    <mergeCell ref="A17:A20"/>
    <mergeCell ref="C23:E23"/>
    <mergeCell ref="A21:A23"/>
    <mergeCell ref="C25:E25"/>
    <mergeCell ref="A24:A25"/>
    <mergeCell ref="C27:E27"/>
    <mergeCell ref="A26:A27"/>
  </mergeCells>
  <ignoredErrors>
    <ignoredError numberStoredAsText="1" sqref="A1:H27"/>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PMU, CGIAR Program Finance Support and associated Allocation</v>
      </c>
      <c r="D2" s="5">
        <v>97205</v>
      </c>
      <c r="E2" s="4" t="str">
        <v>MELIA person of 0.4 considered as crucial for a viable program.</v>
      </c>
      <c r="F2" s="4">
        <v>15</v>
      </c>
      <c r="G2" s="4">
        <v>2</v>
      </c>
    </row>
    <row r="3" ht="45" customHeight="1">
      <c r="A3" s="4" t="str">
        <v>AOW00: Cross Cutting</v>
      </c>
      <c r="B3" s="4" t="str">
        <v>ICARDA</v>
      </c>
      <c r="C3" s="4" t="str">
        <v>MELIA</v>
      </c>
      <c r="D3" s="5">
        <v>0</v>
      </c>
      <c r="E3" s="4" t="str">
        <v/>
      </c>
      <c r="F3" s="4">
        <v>19</v>
      </c>
      <c r="G3" s="4">
        <v>6</v>
      </c>
    </row>
    <row r="4" ht="45" customHeight="1">
      <c r="A4" s="4" t="str">
        <v>AOW00: Cross Cutting</v>
      </c>
      <c r="B4" s="4" t="str">
        <v>ICARDA</v>
      </c>
      <c r="C4" s="4" t="str">
        <v>Discretionary funds</v>
      </c>
      <c r="D4" s="5">
        <v>51300</v>
      </c>
      <c r="E4" s="4" t="str">
        <v>This funding is allocated to top up the MELIA studies.</v>
      </c>
      <c r="F4" s="4">
        <v>202</v>
      </c>
      <c r="G4" s="4">
        <v>7</v>
      </c>
    </row>
    <row r="5" ht="25" customHeight="1">
      <c r="C5" s="9" t="str">
        <v>Cross-cutting budget subtotal</v>
      </c>
      <c r="D5" s="9">
        <v>148505</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97205</v>
      </c>
      <c r="C2" s="5">
        <v>0</v>
      </c>
      <c r="D2" s="5">
        <v>123773</v>
      </c>
      <c r="E2" s="5">
        <v>0</v>
      </c>
      <c r="F2" s="5">
        <v>0</v>
      </c>
      <c r="G2" s="5">
        <v>0</v>
      </c>
      <c r="H2" s="5">
        <v>0</v>
      </c>
      <c r="I2" s="5">
        <f>=SUM(B2:H2)</f>
        <v>0</v>
      </c>
    </row>
    <row r="3" ht="20" customHeight="1">
      <c r="A3" s="4" t="str">
        <v>Operations (supplies, consultants, travels, workshops, other)</v>
      </c>
      <c r="B3" s="5">
        <v>51300</v>
      </c>
      <c r="C3" s="5">
        <v>0</v>
      </c>
      <c r="D3" s="5">
        <v>56227</v>
      </c>
      <c r="E3" s="5">
        <v>0</v>
      </c>
      <c r="F3" s="5">
        <v>0</v>
      </c>
      <c r="G3" s="5">
        <v>0</v>
      </c>
      <c r="H3" s="5">
        <v>0</v>
      </c>
      <c r="I3" s="5">
        <f>=SUM(B3:H3)</f>
        <v>0</v>
      </c>
    </row>
    <row r="4" ht="20" customHeight="1">
      <c r="A4" s="4" t="str">
        <v>Collaborators non-CGIAR centers</v>
      </c>
      <c r="B4" s="5">
        <v>0</v>
      </c>
      <c r="C4" s="5">
        <v>0</v>
      </c>
      <c r="D4" s="5">
        <v>20000</v>
      </c>
      <c r="E4" s="5">
        <v>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Italy</v>
      </c>
      <c r="D2" s="5">
        <v>100</v>
      </c>
      <c r="E2" s="4">
        <v>59</v>
      </c>
    </row>
    <row r="3" ht="45" customHeight="1">
      <c r="A3" s="8" t="str">
        <v>AOW02: Market Systems</v>
      </c>
      <c r="B3" s="4" t="str">
        <v>ICARDA</v>
      </c>
      <c r="C3" s="4" t="str">
        <v>Ethiopia</v>
      </c>
      <c r="D3" s="5">
        <v>60</v>
      </c>
      <c r="E3" s="4">
        <v>2370</v>
      </c>
    </row>
    <row r="4" ht="45" customHeight="1">
      <c r="A4" s="4" t="str">
        <v>AOW02: Market Systems</v>
      </c>
      <c r="B4" s="4" t="str">
        <v>ICARDA</v>
      </c>
      <c r="C4" s="4" t="str">
        <v>Kenya</v>
      </c>
      <c r="D4" s="5">
        <v>0</v>
      </c>
      <c r="E4" s="4">
        <v>2369</v>
      </c>
    </row>
    <row r="5" ht="45" customHeight="1">
      <c r="A5" s="4" t="str">
        <v>AOW02: Market Systems</v>
      </c>
      <c r="B5" s="4" t="str">
        <v>ICARDA</v>
      </c>
      <c r="C5" s="4" t="str">
        <v>Morocco</v>
      </c>
      <c r="D5" s="5">
        <v>40</v>
      </c>
      <c r="E5" s="4">
        <v>2368</v>
      </c>
    </row>
  </sheetData>
  <mergeCells count="2">
    <mergeCell ref="A2"/>
    <mergeCell ref="A3: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Bangladesh</v>
      </c>
      <c r="D2" s="4" t="str">
        <v>country</v>
      </c>
      <c r="E2" s="5">
        <v>16.67</v>
      </c>
      <c r="F2" s="4">
        <v>28</v>
      </c>
    </row>
    <row r="3" ht="45" customHeight="1">
      <c r="A3" s="4" t="str">
        <v>AOW00: Cross Cutting</v>
      </c>
      <c r="B3" s="4" t="str">
        <v>ICARDA</v>
      </c>
      <c r="C3" s="4" t="str">
        <v>Ethiopia</v>
      </c>
      <c r="D3" s="4" t="str">
        <v>country</v>
      </c>
      <c r="E3" s="5">
        <v>16.67</v>
      </c>
      <c r="F3" s="4">
        <v>25</v>
      </c>
    </row>
    <row r="4" ht="45" customHeight="1">
      <c r="A4" s="4" t="str">
        <v>AOW00: Cross Cutting</v>
      </c>
      <c r="B4" s="4" t="str">
        <v>ICARDA</v>
      </c>
      <c r="C4" s="4" t="str">
        <v>Honduras</v>
      </c>
      <c r="D4" s="4" t="str">
        <v>country</v>
      </c>
      <c r="E4" s="5">
        <v>16.67</v>
      </c>
      <c r="F4" s="4">
        <v>27</v>
      </c>
    </row>
    <row r="5" ht="45" customHeight="1">
      <c r="A5" s="4" t="str">
        <v>AOW00: Cross Cutting</v>
      </c>
      <c r="B5" s="4" t="str">
        <v>ICARDA</v>
      </c>
      <c r="C5" s="4" t="str">
        <v>Philippines</v>
      </c>
      <c r="D5" s="4" t="str">
        <v>country</v>
      </c>
      <c r="E5" s="5">
        <v>16.66</v>
      </c>
      <c r="F5" s="4">
        <v>29</v>
      </c>
    </row>
    <row r="6" ht="45" customHeight="1">
      <c r="A6" s="4" t="str">
        <v>AOW00: Cross Cutting</v>
      </c>
      <c r="B6" s="4" t="str">
        <v>ICARDA</v>
      </c>
      <c r="C6" s="4" t="str">
        <v>Tanzania</v>
      </c>
      <c r="D6" s="4" t="str">
        <v>country</v>
      </c>
      <c r="E6" s="5">
        <v>16.67</v>
      </c>
      <c r="F6" s="4">
        <v>26</v>
      </c>
    </row>
    <row r="7" ht="45" customHeight="1">
      <c r="A7" s="4" t="str">
        <v>AOW00: Cross Cutting</v>
      </c>
      <c r="B7" s="4" t="str">
        <v>ICARDA</v>
      </c>
      <c r="C7" s="4" t="str">
        <v>The Socialist Republic of Viet Nam</v>
      </c>
      <c r="D7" s="4" t="str">
        <v>country</v>
      </c>
      <c r="E7" s="5">
        <v>16.66</v>
      </c>
      <c r="F7" s="4">
        <v>30</v>
      </c>
    </row>
    <row r="8" ht="45" customHeight="1">
      <c r="A8" s="8" t="str">
        <v>AOW02: Market Systems</v>
      </c>
      <c r="B8" s="4" t="str">
        <v>ICARDA</v>
      </c>
      <c r="C8" s="4" t="str">
        <v>Ethiopia</v>
      </c>
      <c r="D8" s="4" t="str">
        <v>country</v>
      </c>
      <c r="E8" s="5">
        <v>100</v>
      </c>
      <c r="F8" s="4">
        <v>837</v>
      </c>
    </row>
  </sheetData>
  <mergeCells count="2">
    <mergeCell ref="A2: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