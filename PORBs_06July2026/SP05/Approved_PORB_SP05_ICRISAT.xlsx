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189</v>
      </c>
    </row>
    <row r="5" ht="20" customHeight="1">
      <c r="A5" s="4" t="str">
        <v>AOW01: Consumers and Food Environments</v>
      </c>
      <c r="B5" s="5">
        <v>0</v>
      </c>
      <c r="C5" s="5">
        <v>0</v>
      </c>
      <c r="D5" s="5">
        <v>0</v>
      </c>
      <c r="E5" s="5">
        <v>0</v>
      </c>
      <c r="F5" s="5">
        <v>0</v>
      </c>
      <c r="G5" s="5">
        <v>0</v>
      </c>
      <c r="H5" s="5">
        <v>0</v>
      </c>
      <c r="I5" s="5">
        <v>0</v>
      </c>
      <c r="J5" s="5">
        <v>0</v>
      </c>
      <c r="K5" s="5">
        <v>0</v>
      </c>
      <c r="L5" s="5">
        <v>0</v>
      </c>
      <c r="M5" s="5">
        <v>0</v>
      </c>
      <c r="N5" s="4">
        <v>188</v>
      </c>
    </row>
    <row r="6" ht="20" customHeight="1">
      <c r="A6" s="4" t="str">
        <v>AOW02: Market Systems</v>
      </c>
      <c r="B6" s="5">
        <v>0</v>
      </c>
      <c r="C6" s="5">
        <v>0</v>
      </c>
      <c r="D6" s="5">
        <v>0</v>
      </c>
      <c r="E6" s="5">
        <v>0</v>
      </c>
      <c r="F6" s="5">
        <v>0</v>
      </c>
      <c r="G6" s="5">
        <v>0</v>
      </c>
      <c r="H6" s="5">
        <v>0</v>
      </c>
      <c r="I6" s="5">
        <v>0</v>
      </c>
      <c r="J6" s="5">
        <v>0</v>
      </c>
      <c r="K6" s="5">
        <v>0</v>
      </c>
      <c r="L6" s="5">
        <v>0</v>
      </c>
      <c r="M6" s="5">
        <v>0</v>
      </c>
      <c r="N6" s="4">
        <v>184</v>
      </c>
    </row>
    <row r="7" ht="20" customHeight="1">
      <c r="A7" s="4" t="str">
        <v>AOW03: End-to-end Solutions</v>
      </c>
      <c r="B7" s="5">
        <v>0</v>
      </c>
      <c r="C7" s="5">
        <v>0</v>
      </c>
      <c r="D7" s="5">
        <v>0</v>
      </c>
      <c r="E7" s="5">
        <v>0</v>
      </c>
      <c r="F7" s="5">
        <v>0</v>
      </c>
      <c r="G7" s="5">
        <v>0</v>
      </c>
      <c r="H7" s="5">
        <v>0</v>
      </c>
      <c r="I7" s="5">
        <v>0</v>
      </c>
      <c r="J7" s="5">
        <v>0</v>
      </c>
      <c r="K7" s="5">
        <v>0</v>
      </c>
      <c r="L7" s="5">
        <v>0</v>
      </c>
      <c r="M7" s="5">
        <v>0</v>
      </c>
      <c r="N7" s="4">
        <v>186</v>
      </c>
    </row>
    <row r="8" ht="20" customHeight="1">
      <c r="A8" s="4" t="str">
        <v>AOW04: Biofortified and Health-enhancing Staples</v>
      </c>
      <c r="B8" s="5">
        <v>1</v>
      </c>
      <c r="C8" s="5">
        <v>30000</v>
      </c>
      <c r="D8" s="5">
        <v>3</v>
      </c>
      <c r="E8" s="5">
        <v>60000</v>
      </c>
      <c r="F8" s="5">
        <v>0</v>
      </c>
      <c r="G8" s="5">
        <v>0</v>
      </c>
      <c r="H8" s="5">
        <v>4</v>
      </c>
      <c r="I8" s="5">
        <v>60000</v>
      </c>
      <c r="J8" s="5">
        <v>150000</v>
      </c>
      <c r="K8" s="5">
        <v>150000</v>
      </c>
      <c r="L8" s="5">
        <v>20000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0</v>
      </c>
      <c r="E10" s="5">
        <v>0</v>
      </c>
      <c r="F10" s="5">
        <v>0</v>
      </c>
      <c r="G10" s="5">
        <v>0</v>
      </c>
      <c r="H10" s="5">
        <v>0</v>
      </c>
      <c r="I10" s="5">
        <v>0</v>
      </c>
      <c r="J10" s="5">
        <v>0</v>
      </c>
      <c r="K10" s="5">
        <v>0</v>
      </c>
      <c r="L10" s="5">
        <v>0</v>
      </c>
      <c r="M10" s="5">
        <v>0</v>
      </c>
      <c r="N10" s="4">
        <v>185</v>
      </c>
    </row>
    <row r="11" ht="25" customHeight="1">
      <c r="A11" s="6" t="str">
        <v>Total</v>
      </c>
      <c r="B11" s="7" t="str">
        <v/>
      </c>
      <c r="C11" s="7">
        <v>30000</v>
      </c>
      <c r="D11" s="7" t="str">
        <v/>
      </c>
      <c r="E11" s="7">
        <v>60000</v>
      </c>
      <c r="F11" s="7" t="str">
        <v/>
      </c>
      <c r="G11" s="7">
        <v>0</v>
      </c>
      <c r="H11" s="7" t="str">
        <v/>
      </c>
      <c r="I11" s="7">
        <v>60000</v>
      </c>
      <c r="J11" s="7">
        <v>150000</v>
      </c>
      <c r="K11" s="7">
        <v>150000</v>
      </c>
      <c r="L11" s="7">
        <v>20000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AOW04: Biofortified and Health-enhancing Staples</v>
      </c>
      <c r="B3" s="4" t="str">
        <v>ICRISAT</v>
      </c>
      <c r="C3" s="4" t="str">
        <v>Suite of solutions for traders and vendors that address constraints to sustainable healthy diets co-developed, tested, and scaled with technical support and country engagement</v>
      </c>
      <c r="D3" s="4" t="str">
        <v>Roadmap with clear pathways for scaling, market integration, and business model development for biofortified and health-enhancing staples</v>
      </c>
      <c r="E3" s="4" t="str">
        <v>Number of knowledge products</v>
      </c>
      <c r="F3" s="4" t="str">
        <v>India, Kenya, Tanzania, United Republic</v>
      </c>
      <c r="G3" s="5">
        <v>1</v>
      </c>
      <c r="H3" s="5">
        <v>30000</v>
      </c>
      <c r="I3" s="4" t="str">
        <v>Estimated costs for time of interdisciplinary teams of researchers and local partners, data collection costs.</v>
      </c>
      <c r="J3" s="4">
        <v>8061</v>
      </c>
    </row>
    <row r="4" ht="50" customHeight="1">
      <c r="B4" s="4" t="str">
        <v>ICRISAT</v>
      </c>
      <c r="D4" s="4" t="str">
        <v>Incubation model, a partnership concept that convenes traders, aggregators, government agencies, processors, private sector actors and development partners to develop practical, context-specific solutions for scaling, market integration, and business model development for biofortified and health-enhancing staples</v>
      </c>
      <c r="E4" s="4" t="str">
        <v>Number of innovations (innovation development)</v>
      </c>
      <c r="F4" s="4" t="str">
        <v>India, Tanzania, United Republic</v>
      </c>
      <c r="G4" s="5">
        <v>1</v>
      </c>
      <c r="H4" s="5">
        <v>30000</v>
      </c>
      <c r="I4" s="4" t="str">
        <v>Estimated costs for time of interdisciplinary teams of researchers and local partners, data collection costs.</v>
      </c>
      <c r="J4" s="4">
        <v>8064</v>
      </c>
    </row>
    <row r="5" ht="50" customHeight="1">
      <c r="B5" s="4" t="str">
        <v>ICRISAT</v>
      </c>
      <c r="D5" s="4" t="str">
        <v>Consultations with traders, aggregators, government agencies, processors, private sector actors and development partners to develop practical, context-specific solutions for scaling, market integration, and business model development for biofortified and health-enhancing staples.31</v>
      </c>
      <c r="E5" s="4" t="str">
        <v>custom</v>
      </c>
      <c r="F5" s="4" t="str">
        <v>India, Kenya, Tanzania, United Republic</v>
      </c>
      <c r="G5" s="5">
        <v>2</v>
      </c>
      <c r="H5" s="5">
        <v>30000</v>
      </c>
      <c r="I5" s="4" t="str">
        <v>Meeting costs include venue, catering, materials, and facilitators</v>
      </c>
      <c r="J5" s="4">
        <v>8220</v>
      </c>
    </row>
    <row r="6" ht="50" customHeight="1">
      <c r="B6" s="4" t="str">
        <v>ICRISAT</v>
      </c>
      <c r="D6" s="4" t="str">
        <v>Diagnostic report on sourcing constraints, institutional procurement opportunities (including school feeding programs), consumer demand signals and knowledge gaps, and barriers to integrating biofortified crops into products.31</v>
      </c>
      <c r="E6" s="4" t="str">
        <v>Number of knowledge products</v>
      </c>
      <c r="F6" s="4" t="str">
        <v>India, Kenya, Tanzania, United Republic</v>
      </c>
      <c r="G6" s="5">
        <v>1</v>
      </c>
      <c r="H6" s="5">
        <v>15000</v>
      </c>
      <c r="I6" s="4" t="str">
        <v>Estimated costs for time of interdisciplinary teams of researchers and local partners, data collection costs.</v>
      </c>
      <c r="J6" s="4">
        <v>8221</v>
      </c>
    </row>
    <row r="7" ht="50" customHeight="1">
      <c r="A7" s="4" t="str">
        <v>AOW04: Biofortified and Health-enhancing Staples</v>
      </c>
      <c r="B7" s="4" t="str">
        <v>ICRISAT</v>
      </c>
      <c r="C7" s="4" t="str">
        <v>Suite of solutions for producers and processors that address constraints to sustainable healthy diets co-developed, tested, and scaled with technical support and country engagement</v>
      </c>
      <c r="D7" s="4" t="str">
        <v>Diagnostic report on sourcing constraints, institutional procurement opportunities (including school feeding programs), consumer demand signals and knowledge gaps, and barriers to integrating biofortified crops into products.31</v>
      </c>
      <c r="E7" s="4" t="str">
        <v>Number of knowledge products</v>
      </c>
      <c r="F7" s="4" t="str">
        <v>India, Kenya, Tanzania, United Republic</v>
      </c>
      <c r="G7" s="5">
        <v>1</v>
      </c>
      <c r="H7" s="5">
        <v>15000</v>
      </c>
      <c r="I7" s="4" t="str">
        <v>Estimated costs for time of interdisciplinary teams of researchers and local partners, data collection costs.</v>
      </c>
      <c r="J7" s="4">
        <v>8067</v>
      </c>
    </row>
    <row r="8" ht="50" customHeight="1">
      <c r="B8" s="4" t="str">
        <v>ICRISAT</v>
      </c>
      <c r="D8" s="4" t="str">
        <v>Consultations with traders, aggregators, government agencies, processors, private sector actors and development partners to develop practical, context-specific solutions for scaling, market integration, and business model development for biofortified and health-enhancing staples.31</v>
      </c>
      <c r="E8" s="4" t="str">
        <v>custom</v>
      </c>
      <c r="F8" s="4" t="str">
        <v>India, Kenya, Tanzania, United Republic</v>
      </c>
      <c r="G8" s="5">
        <v>2</v>
      </c>
      <c r="H8" s="5">
        <v>30000</v>
      </c>
      <c r="I8" s="4" t="str">
        <v>Meeting costs include venue, catering, materials, and facilitators</v>
      </c>
      <c r="J8" s="4">
        <v>8068</v>
      </c>
    </row>
    <row r="9" ht="25" customHeight="1">
      <c r="C9" s="9" t="str">
        <v>HLO budget subtotal</v>
      </c>
      <c r="H9" s="9">
        <v>150000</v>
      </c>
      <c r="J9" s="9" t="str">
        <v/>
      </c>
    </row>
  </sheetData>
  <mergeCells count="10">
    <mergeCell ref="A1:A2"/>
    <mergeCell ref="B1:B2"/>
    <mergeCell ref="C1:C2"/>
    <mergeCell ref="D1:H1"/>
    <mergeCell ref="I1:I2"/>
    <mergeCell ref="J1:J2"/>
    <mergeCell ref="C3:C6"/>
    <mergeCell ref="C7:C8"/>
    <mergeCell ref="C9:G9"/>
    <mergeCell ref="A3:A9"/>
  </mergeCells>
  <ignoredErrors>
    <ignoredError numberStoredAsText="1" sqref="A1:J9"/>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AOW04: Biofortified and Health-enhancing Staples</v>
      </c>
      <c r="B2" s="4" t="str">
        <v>Tanzania Agricultural Research Institute</v>
      </c>
      <c r="C2" s="4" t="str">
        <v>ICRISAT</v>
      </c>
      <c r="D2" s="4" t="str">
        <v>Tanzania, United Republic</v>
      </c>
      <c r="E2" s="5">
        <v>20000</v>
      </c>
      <c r="F2" s="4" t="str">
        <v>Agreement on ToR, deliverables, timelines, and costs.</v>
      </c>
      <c r="G2" s="4">
        <v>408</v>
      </c>
    </row>
    <row r="3" ht="25" customHeight="1">
      <c r="B3" s="9" t="str">
        <v>Contracted partners subtotal</v>
      </c>
      <c r="E3" s="9">
        <v>20000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ICRISAT</v>
      </c>
      <c r="B2" s="4" t="str">
        <v>Bihar Centre Of Excellence For Millets Value Chain (BCoEMVC)</v>
      </c>
      <c r="C2" s="4" t="str">
        <v>Suite of solutions for producers and processors that address constraints to sustainable healthy diets co-developed, tested, and scaled with technical support and country engagement</v>
      </c>
      <c r="D2" s="5">
        <v>413388</v>
      </c>
      <c r="E2" s="4" t="str">
        <v>Budget subject to agreement of both parties on scope of work, deliverables to be delivered at a given period, estimation of costs, and manner of payment.</v>
      </c>
      <c r="F2" s="4">
        <v>1061</v>
      </c>
    </row>
    <row r="3" ht="60" customHeight="1">
      <c r="A3" s="4" t="str">
        <v>ICRISAT</v>
      </c>
      <c r="B3" s="4" t="str">
        <v>Enhancing Crop Productivity and Climate Resilience for Food and Nutrition Security in Mali (FNS-Mali)</v>
      </c>
      <c r="C3" s="4" t="str">
        <v>Suite of solutions for producers and processors that address constraints to sustainable healthy diets co-developed, tested, and scaled with technical support and country engagement</v>
      </c>
      <c r="D3" s="5">
        <v>0</v>
      </c>
      <c r="E3" s="4" t="str">
        <v/>
      </c>
      <c r="F3" s="4">
        <v>1059</v>
      </c>
    </row>
    <row r="4" ht="25" customHeight="1">
      <c r="B4" s="9" t="str">
        <v>W3/Bilateral budget subtotal</v>
      </c>
      <c r="D4" s="9">
        <v>413388</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0</v>
      </c>
      <c r="D2" s="5">
        <v>0</v>
      </c>
      <c r="E2" s="5">
        <v>0</v>
      </c>
      <c r="F2" s="5">
        <v>80936</v>
      </c>
      <c r="G2" s="5">
        <v>0</v>
      </c>
      <c r="H2" s="5">
        <v>0</v>
      </c>
      <c r="I2" s="5">
        <f>=SUM(B2:H2)</f>
        <v>0</v>
      </c>
    </row>
    <row r="3" ht="20" customHeight="1">
      <c r="A3" s="4" t="str">
        <v>Operations (supplies, consultants, travels, workshops, other)</v>
      </c>
      <c r="B3" s="5">
        <v>0</v>
      </c>
      <c r="C3" s="5">
        <v>0</v>
      </c>
      <c r="D3" s="5">
        <v>0</v>
      </c>
      <c r="E3" s="5">
        <v>0</v>
      </c>
      <c r="F3" s="5">
        <v>49064</v>
      </c>
      <c r="G3" s="5">
        <v>0</v>
      </c>
      <c r="H3" s="5">
        <v>0</v>
      </c>
      <c r="I3" s="5">
        <f>=SUM(B3:H3)</f>
        <v>0</v>
      </c>
    </row>
    <row r="4" ht="20" customHeight="1">
      <c r="A4" s="4" t="str">
        <v>Collaborators non-CGIAR centers</v>
      </c>
      <c r="B4" s="5">
        <v>0</v>
      </c>
      <c r="C4" s="5">
        <v>0</v>
      </c>
      <c r="D4" s="5">
        <v>0</v>
      </c>
      <c r="E4" s="5">
        <v>0</v>
      </c>
      <c r="F4" s="5">
        <v>20000</v>
      </c>
      <c r="G4" s="5">
        <v>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AOW04: Biofortified and Health-enhancing Staples</v>
      </c>
      <c r="B2" s="4" t="str">
        <v>ICRISAT</v>
      </c>
      <c r="C2" s="4" t="str">
        <v>India</v>
      </c>
      <c r="D2" s="5">
        <v>80</v>
      </c>
      <c r="E2" s="4">
        <v>2650</v>
      </c>
    </row>
    <row r="3" ht="45" customHeight="1">
      <c r="A3" s="4" t="str">
        <v>AOW04: Biofortified and Health-enhancing Staples</v>
      </c>
      <c r="B3" s="4" t="str">
        <v>ICRISAT</v>
      </c>
      <c r="C3" s="4" t="str">
        <v>Kenya</v>
      </c>
      <c r="D3" s="5">
        <v>0</v>
      </c>
      <c r="E3" s="4">
        <v>2367</v>
      </c>
    </row>
    <row r="4" ht="45" customHeight="1">
      <c r="A4" s="4" t="str">
        <v>AOW04: Biofortified and Health-enhancing Staples</v>
      </c>
      <c r="B4" s="4" t="str">
        <v>ICRISAT</v>
      </c>
      <c r="C4" s="4" t="str">
        <v>Tanzania</v>
      </c>
      <c r="D4" s="5">
        <v>20</v>
      </c>
      <c r="E4" s="4">
        <v>2651</v>
      </c>
    </row>
  </sheetData>
  <mergeCells count="1">
    <mergeCell ref="A2:A4"/>
  </mergeCells>
  <ignoredErrors>
    <ignoredError numberStoredAsText="1" sqref="A1:E4"/>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AOW04: Biofortified and Health-enhancing Staples</v>
      </c>
      <c r="B2" s="4" t="str">
        <v>ICRISAT</v>
      </c>
      <c r="C2" s="4" t="str">
        <v>Global</v>
      </c>
      <c r="D2" s="4" t="str">
        <v>global</v>
      </c>
      <c r="E2" s="5">
        <v>0</v>
      </c>
      <c r="F2" s="4">
        <v>832</v>
      </c>
    </row>
    <row r="3" ht="45" customHeight="1">
      <c r="A3" s="4" t="str">
        <v>AOW04: Biofortified and Health-enhancing Staples</v>
      </c>
      <c r="B3" s="4" t="str">
        <v>ICRISAT</v>
      </c>
      <c r="C3" s="4" t="str">
        <v>Bangladesh</v>
      </c>
      <c r="D3" s="4" t="str">
        <v>country</v>
      </c>
      <c r="E3" s="5">
        <v>0</v>
      </c>
      <c r="F3" s="4">
        <v>834</v>
      </c>
    </row>
    <row r="4" ht="45" customHeight="1">
      <c r="A4" s="4" t="str">
        <v>AOW04: Biofortified and Health-enhancing Staples</v>
      </c>
      <c r="B4" s="4" t="str">
        <v>ICRISAT</v>
      </c>
      <c r="C4" s="4" t="str">
        <v>Kenya</v>
      </c>
      <c r="D4" s="4" t="str">
        <v>country</v>
      </c>
      <c r="E4" s="5">
        <v>0</v>
      </c>
      <c r="F4" s="4">
        <v>835</v>
      </c>
    </row>
    <row r="5" ht="45" customHeight="1">
      <c r="A5" s="4" t="str">
        <v>AOW04: Biofortified and Health-enhancing Staples</v>
      </c>
      <c r="B5" s="4" t="str">
        <v>ICRISAT</v>
      </c>
      <c r="C5" s="4" t="str">
        <v>Tanzania, United Republic</v>
      </c>
      <c r="D5" s="4" t="str">
        <v>country</v>
      </c>
      <c r="E5" s="5">
        <v>100</v>
      </c>
      <c r="F5" s="4">
        <v>836</v>
      </c>
    </row>
  </sheetData>
  <mergeCells count="1">
    <mergeCell ref="A2: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