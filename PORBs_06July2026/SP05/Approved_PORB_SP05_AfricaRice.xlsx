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1</v>
      </c>
      <c r="E6" s="5">
        <v>25000</v>
      </c>
      <c r="F6" s="5">
        <v>0</v>
      </c>
      <c r="G6" s="5">
        <v>0</v>
      </c>
      <c r="H6" s="5">
        <v>1</v>
      </c>
      <c r="I6" s="5">
        <v>25000</v>
      </c>
      <c r="J6" s="5">
        <v>50000</v>
      </c>
      <c r="K6" s="5">
        <v>50000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1</v>
      </c>
      <c r="C8" s="5">
        <v>25000</v>
      </c>
      <c r="D8" s="5">
        <v>3</v>
      </c>
      <c r="E8" s="5">
        <v>75000</v>
      </c>
      <c r="F8" s="5">
        <v>0</v>
      </c>
      <c r="G8" s="5">
        <v>0</v>
      </c>
      <c r="H8" s="5">
        <v>0</v>
      </c>
      <c r="I8" s="5">
        <v>0</v>
      </c>
      <c r="J8" s="5">
        <v>100000</v>
      </c>
      <c r="K8" s="5">
        <v>100000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25000</v>
      </c>
      <c r="D11" s="7" t="str">
        <v/>
      </c>
      <c r="E11" s="7">
        <v>100000</v>
      </c>
      <c r="F11" s="7" t="str">
        <v/>
      </c>
      <c r="G11" s="7">
        <v>0</v>
      </c>
      <c r="H11" s="7" t="str">
        <v/>
      </c>
      <c r="I11" s="7">
        <v>25000</v>
      </c>
      <c r="J11" s="7">
        <v>150000</v>
      </c>
      <c r="K11" s="7">
        <v>150000</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Market Systems</v>
      </c>
      <c r="B3" s="4" t="str">
        <v>AfricaRice</v>
      </c>
      <c r="C3" s="4" t="str">
        <v>Policy options and engagement that support domestic food and trade policies that promote sustainable healthy diets, and in particular, limit the growing supply and consumption of ultra-processed foods</v>
      </c>
      <c r="D3" s="4" t="str">
        <v>Report documenting role of trade policy and political economy in the availability of ultra-processed foods</v>
      </c>
      <c r="E3" s="4" t="str">
        <v>Number of knowledge products</v>
      </c>
      <c r="F3" s="4" t="str">
        <v>Uganda, Tanzania, United Republic, United States of America, Côte d'Ivoire, Honduras</v>
      </c>
      <c r="G3" s="5">
        <v>1</v>
      </c>
      <c r="H3" s="5">
        <v>25000</v>
      </c>
      <c r="I3" s="4" t="str">
        <v>Personnel costs based on standard organizational salary scales.</v>
      </c>
      <c r="J3" s="4">
        <v>7977</v>
      </c>
    </row>
    <row r="4" ht="50" customHeight="1">
      <c r="B4" s="4" t="str">
        <v>AfricaRice</v>
      </c>
      <c r="D4" s="4" t="str">
        <v>Webinar targeted at policy audiences on links between trade policy and availability of ultra-processed foods.54</v>
      </c>
      <c r="E4" s="4" t="str">
        <v>custom</v>
      </c>
      <c r="F4" s="4" t="str">
        <v>Côte d'Ivoire, United States of America, Honduras, Uganda, Tanzania, United Republic</v>
      </c>
      <c r="G4" s="5">
        <v>1</v>
      </c>
      <c r="H4" s="5">
        <v>25000</v>
      </c>
      <c r="I4" s="4" t="str">
        <v>Personnel costs based on standard organizational salary scales.</v>
      </c>
      <c r="J4" s="4">
        <v>7980</v>
      </c>
    </row>
    <row r="5" ht="25" customHeight="1">
      <c r="C5" s="9" t="str">
        <v>HLO budget subtotal</v>
      </c>
      <c r="H5" s="9">
        <v>50000</v>
      </c>
      <c r="J5" s="9" t="str">
        <v/>
      </c>
    </row>
    <row r="6" ht="50" customHeight="1">
      <c r="A6" s="8" t="str">
        <v>AOW04: Biofortified and Health-enhancing Staples</v>
      </c>
      <c r="B6" s="4" t="str">
        <v>AfricaRice</v>
      </c>
      <c r="C6" s="4" t="str">
        <v>Suite of solutions to support consumers awareness, preference, affordability and utilization of biofortified and health-enhancing crops in their diets</v>
      </c>
      <c r="D6" s="4" t="str">
        <v>Behavior Change Communication Toolkit to support consumers awareness, preference, affordability and utilization of biofortified food</v>
      </c>
      <c r="E6" s="4" t="str">
        <v>Number of innovations (innovation development)</v>
      </c>
      <c r="F6" s="4" t="str">
        <v>Côte d'Ivoire, Nigeria</v>
      </c>
      <c r="G6" s="5">
        <v>1</v>
      </c>
      <c r="H6" s="5">
        <v>25000</v>
      </c>
      <c r="I6" s="4" t="str">
        <v>Estimated costs for time of interdisciplinary teams of researchers and local partners, data collection costs</v>
      </c>
      <c r="J6" s="4">
        <v>8044</v>
      </c>
    </row>
    <row r="7" ht="50" customHeight="1">
      <c r="B7" s="4" t="str">
        <v>AfricaRice</v>
      </c>
      <c r="D7" s="4" t="str">
        <v>Policy brief on best practices for the responsible use of consumer nudges</v>
      </c>
      <c r="E7" s="4" t="str">
        <v>Number of knowledge products</v>
      </c>
      <c r="F7" s="4" t="str">
        <v>Côte d'Ivoire, Kenya, Tanzania, United Republic, Nigeria</v>
      </c>
      <c r="G7" s="5">
        <v>1</v>
      </c>
      <c r="H7" s="5">
        <v>25000</v>
      </c>
      <c r="I7" s="4" t="str">
        <v>Personnel costs based on standard organizational salary scales.</v>
      </c>
      <c r="J7" s="4">
        <v>8045</v>
      </c>
    </row>
    <row r="8" ht="50" customHeight="1">
      <c r="B8" s="4" t="str">
        <v>AfricaRice</v>
      </c>
      <c r="D8" s="4" t="str">
        <v>Technical report describing the study on interventions that make opportunity crops (taro, Bambara groundnut, and biofortified rice) desirable and culturally relevant</v>
      </c>
      <c r="E8" s="4" t="str">
        <v>Number of knowledge products</v>
      </c>
      <c r="F8" s="4" t="str">
        <v>Côte d'Ivoire, Nigeria, Kenya, Tanzania, United Republic</v>
      </c>
      <c r="G8" s="5">
        <v>1</v>
      </c>
      <c r="H8" s="5">
        <v>25000</v>
      </c>
      <c r="I8" s="4" t="str">
        <v>Estimated costs for time of interdisciplinary teams of researchers and local partners, data collection costs</v>
      </c>
      <c r="J8" s="4">
        <v>8046</v>
      </c>
    </row>
    <row r="9" ht="50" customHeight="1">
      <c r="A9" s="4" t="str">
        <v>AOW04: Biofortified and Health-enhancing Staples</v>
      </c>
      <c r="B9" s="4" t="str">
        <v>AfricaRice</v>
      </c>
      <c r="C9" s="4" t="str">
        <v>Suite of solutions for producers and processors that address constraints to sustainable healthy diets co-developed, tested, and scaled with technical support and country engagement</v>
      </c>
      <c r="D9" s="4" t="str">
        <v>Technical report describing studies on influencing health-enhancing rice planting decisions by combining behavioral cues with economic support in Nigeria and Tanzania</v>
      </c>
      <c r="E9" s="4" t="str">
        <v>Number of knowledge products</v>
      </c>
      <c r="F9" s="4" t="str">
        <v>Côte d'Ivoire, Nigeria, Tanzania, United Republic</v>
      </c>
      <c r="G9" s="5">
        <v>1</v>
      </c>
      <c r="H9" s="5">
        <v>25000</v>
      </c>
      <c r="I9" s="4" t="str">
        <v>Estimated costs for time of interdisciplinary teams of researchers and local partners, data collection costs</v>
      </c>
      <c r="J9" s="4">
        <v>8092</v>
      </c>
    </row>
    <row r="10" ht="25" customHeight="1">
      <c r="C10" s="9" t="str">
        <v>HLO budget subtotal</v>
      </c>
      <c r="H10" s="9">
        <v>100000</v>
      </c>
      <c r="J10" s="9" t="str">
        <v/>
      </c>
    </row>
  </sheetData>
  <mergeCells count="12">
    <mergeCell ref="A1:A2"/>
    <mergeCell ref="B1:B2"/>
    <mergeCell ref="C1:C2"/>
    <mergeCell ref="D1:H1"/>
    <mergeCell ref="I1:I2"/>
    <mergeCell ref="J1:J2"/>
    <mergeCell ref="C3:C4"/>
    <mergeCell ref="C5:G5"/>
    <mergeCell ref="A3:A5"/>
    <mergeCell ref="C6:C8"/>
    <mergeCell ref="C10:G10"/>
    <mergeCell ref="A6: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15000</v>
      </c>
      <c r="E2" s="5">
        <v>0</v>
      </c>
      <c r="F2" s="5">
        <v>30000</v>
      </c>
      <c r="G2" s="5">
        <v>0</v>
      </c>
      <c r="H2" s="5">
        <v>0</v>
      </c>
      <c r="I2" s="5">
        <f>=SUM(B2:H2)</f>
        <v>0</v>
      </c>
    </row>
    <row r="3" ht="20" customHeight="1">
      <c r="A3" s="4" t="str">
        <v>Operations (supplies, consultants, travels, workshops, other)</v>
      </c>
      <c r="B3" s="5">
        <v>0</v>
      </c>
      <c r="C3" s="5">
        <v>0</v>
      </c>
      <c r="D3" s="5">
        <v>35000</v>
      </c>
      <c r="E3" s="5">
        <v>0</v>
      </c>
      <c r="F3" s="5">
        <v>70000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Market Systems</v>
      </c>
      <c r="B2" s="4" t="str">
        <v>AfricaRice</v>
      </c>
      <c r="C2" s="4" t="str">
        <v>Côte d'Ivoire</v>
      </c>
      <c r="D2" s="5">
        <v>100</v>
      </c>
      <c r="E2" s="4">
        <v>2035</v>
      </c>
    </row>
    <row r="3" ht="45" customHeight="1">
      <c r="A3" s="4" t="str">
        <v>AOW02: Market Systems</v>
      </c>
      <c r="B3" s="4" t="str">
        <v>AfricaRice</v>
      </c>
      <c r="C3" s="4" t="str">
        <v>Honduras</v>
      </c>
      <c r="D3" s="5">
        <v>0</v>
      </c>
      <c r="E3" s="4">
        <v>2037</v>
      </c>
    </row>
    <row r="4" ht="45" customHeight="1">
      <c r="A4" s="8" t="str">
        <v>AOW04: Biofortified and Health-enhancing Staples</v>
      </c>
      <c r="B4" s="4" t="str">
        <v>AfricaRice</v>
      </c>
      <c r="C4" s="4" t="str">
        <v>Côte d'Ivoire</v>
      </c>
      <c r="D4" s="5">
        <v>100</v>
      </c>
      <c r="E4" s="4">
        <v>2036</v>
      </c>
    </row>
  </sheetData>
  <mergeCells count="2">
    <mergeCell ref="A2:A3"/>
    <mergeCell ref="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Market Systems</v>
      </c>
      <c r="B2" s="4" t="str">
        <v>AfricaRice</v>
      </c>
      <c r="C2" s="4" t="str">
        <v>Global</v>
      </c>
      <c r="D2" s="4" t="str">
        <v>global</v>
      </c>
      <c r="E2" s="5">
        <v>0</v>
      </c>
      <c r="F2" s="4">
        <v>717</v>
      </c>
    </row>
    <row r="3" ht="45" customHeight="1">
      <c r="A3" s="4" t="str">
        <v>AOW02: Market Systems</v>
      </c>
      <c r="B3" s="4" t="str">
        <v>AfricaRice</v>
      </c>
      <c r="C3" s="4" t="str">
        <v>Honduras</v>
      </c>
      <c r="D3" s="4" t="str">
        <v>country</v>
      </c>
      <c r="E3" s="5">
        <v>33</v>
      </c>
      <c r="F3" s="4">
        <v>716</v>
      </c>
    </row>
    <row r="4" ht="45" customHeight="1">
      <c r="A4" s="4" t="str">
        <v>AOW02: Market Systems</v>
      </c>
      <c r="B4" s="4" t="str">
        <v>AfricaRice</v>
      </c>
      <c r="C4" s="4" t="str">
        <v>Tanzania</v>
      </c>
      <c r="D4" s="4" t="str">
        <v>country</v>
      </c>
      <c r="E4" s="5">
        <v>34</v>
      </c>
      <c r="F4" s="4">
        <v>715</v>
      </c>
    </row>
    <row r="5" ht="45" customHeight="1">
      <c r="A5" s="4" t="str">
        <v>AOW02: Market Systems</v>
      </c>
      <c r="B5" s="4" t="str">
        <v>AfricaRice</v>
      </c>
      <c r="C5" s="4" t="str">
        <v>Uganda</v>
      </c>
      <c r="D5" s="4" t="str">
        <v>country</v>
      </c>
      <c r="E5" s="5">
        <v>33</v>
      </c>
      <c r="F5" s="4">
        <v>714</v>
      </c>
    </row>
    <row r="6" ht="45" customHeight="1">
      <c r="A6" s="8" t="str">
        <v>AOW04: Biofortified and Health-enhancing Staples</v>
      </c>
      <c r="B6" s="4" t="str">
        <v>AfricaRice</v>
      </c>
      <c r="C6" s="4" t="str">
        <v>Honduras</v>
      </c>
      <c r="D6" s="4" t="str">
        <v>country</v>
      </c>
      <c r="E6" s="5">
        <v>0</v>
      </c>
      <c r="F6" s="4">
        <v>710</v>
      </c>
    </row>
    <row r="7" ht="45" customHeight="1">
      <c r="A7" s="4" t="str">
        <v>AOW04: Biofortified and Health-enhancing Staples</v>
      </c>
      <c r="B7" s="4" t="str">
        <v>AfricaRice</v>
      </c>
      <c r="C7" s="4" t="str">
        <v>Kenya</v>
      </c>
      <c r="D7" s="4" t="str">
        <v>country</v>
      </c>
      <c r="E7" s="5">
        <v>33</v>
      </c>
      <c r="F7" s="4">
        <v>713</v>
      </c>
    </row>
    <row r="8" ht="45" customHeight="1">
      <c r="A8" s="4" t="str">
        <v>AOW04: Biofortified and Health-enhancing Staples</v>
      </c>
      <c r="B8" s="4" t="str">
        <v>AfricaRice</v>
      </c>
      <c r="C8" s="4" t="str">
        <v>Malawi</v>
      </c>
      <c r="D8" s="4" t="str">
        <v>country</v>
      </c>
      <c r="E8" s="5">
        <v>0</v>
      </c>
      <c r="F8" s="4">
        <v>711</v>
      </c>
    </row>
    <row r="9" ht="45" customHeight="1">
      <c r="A9" s="4" t="str">
        <v>AOW04: Biofortified and Health-enhancing Staples</v>
      </c>
      <c r="B9" s="4" t="str">
        <v>AfricaRice</v>
      </c>
      <c r="C9" s="4" t="str">
        <v>Nigeria</v>
      </c>
      <c r="D9" s="4" t="str">
        <v>country</v>
      </c>
      <c r="E9" s="5">
        <v>34</v>
      </c>
      <c r="F9" s="4">
        <v>712</v>
      </c>
    </row>
    <row r="10" ht="45" customHeight="1">
      <c r="A10" s="4" t="str">
        <v>AOW04: Biofortified and Health-enhancing Staples</v>
      </c>
      <c r="B10" s="4" t="str">
        <v>AfricaRice</v>
      </c>
      <c r="C10" s="4" t="str">
        <v>Tanzania, United Republic</v>
      </c>
      <c r="D10" s="4" t="str">
        <v>country</v>
      </c>
      <c r="E10" s="5">
        <v>33</v>
      </c>
      <c r="F10" s="4">
        <v>709</v>
      </c>
    </row>
    <row r="11" ht="45" customHeight="1">
      <c r="A11" s="4" t="str">
        <v>AOW04: Biofortified and Health-enhancing Staples</v>
      </c>
      <c r="B11" s="4" t="str">
        <v>AfricaRice</v>
      </c>
      <c r="C11" s="4" t="str">
        <v>Uganda</v>
      </c>
      <c r="D11" s="4" t="str">
        <v>country</v>
      </c>
      <c r="E11" s="5">
        <v>0</v>
      </c>
      <c r="F11" s="4">
        <v>708</v>
      </c>
    </row>
  </sheetData>
  <mergeCells count="2">
    <mergeCell ref="A2:A5"/>
    <mergeCell ref="A6: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