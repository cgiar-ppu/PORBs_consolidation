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1</v>
      </c>
      <c r="C5" s="5">
        <v>6830</v>
      </c>
      <c r="D5" s="5">
        <v>3</v>
      </c>
      <c r="E5" s="5">
        <v>20489</v>
      </c>
      <c r="F5" s="5">
        <v>0</v>
      </c>
      <c r="G5" s="5">
        <v>0</v>
      </c>
      <c r="H5" s="5">
        <v>0</v>
      </c>
      <c r="I5" s="5">
        <v>0</v>
      </c>
      <c r="J5" s="5">
        <v>27319</v>
      </c>
      <c r="K5" s="5">
        <v>27319</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1</v>
      </c>
      <c r="C7" s="5">
        <v>25000</v>
      </c>
      <c r="D7" s="5">
        <v>2</v>
      </c>
      <c r="E7" s="5">
        <v>147000</v>
      </c>
      <c r="F7" s="5">
        <v>0</v>
      </c>
      <c r="G7" s="5">
        <v>0</v>
      </c>
      <c r="H7" s="5">
        <v>0</v>
      </c>
      <c r="I7" s="5">
        <v>0</v>
      </c>
      <c r="J7" s="5">
        <v>172000</v>
      </c>
      <c r="K7" s="5">
        <v>172000</v>
      </c>
      <c r="L7" s="5">
        <v>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4</v>
      </c>
      <c r="E10" s="5">
        <v>166666</v>
      </c>
      <c r="F10" s="5">
        <v>0</v>
      </c>
      <c r="G10" s="5">
        <v>0</v>
      </c>
      <c r="H10" s="5">
        <v>5</v>
      </c>
      <c r="I10" s="5">
        <v>208334</v>
      </c>
      <c r="J10" s="5">
        <v>375000</v>
      </c>
      <c r="K10" s="5">
        <v>375000</v>
      </c>
      <c r="L10" s="5">
        <v>0</v>
      </c>
      <c r="M10" s="5">
        <v>0</v>
      </c>
      <c r="N10" s="4">
        <v>185</v>
      </c>
    </row>
    <row r="11" ht="25" customHeight="1">
      <c r="A11" s="6" t="str">
        <v>Total</v>
      </c>
      <c r="B11" s="7" t="str">
        <v/>
      </c>
      <c r="C11" s="7">
        <v>31830</v>
      </c>
      <c r="D11" s="7" t="str">
        <v/>
      </c>
      <c r="E11" s="7">
        <v>334155</v>
      </c>
      <c r="F11" s="7" t="str">
        <v/>
      </c>
      <c r="G11" s="7">
        <v>0</v>
      </c>
      <c r="H11" s="7" t="str">
        <v/>
      </c>
      <c r="I11" s="7">
        <v>208334</v>
      </c>
      <c r="J11" s="7">
        <v>574319</v>
      </c>
      <c r="K11" s="7">
        <v>574319</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Consumers and Food Environments</v>
      </c>
      <c r="B3" s="4" t="str">
        <v>ILRI</v>
      </c>
      <c r="C3" s="4" t="str">
        <v>Suite of solutions focused on consumers that promote consumption of sustainable heathy diets co-developed, tested, and scaled with technical support and country engagement</v>
      </c>
      <c r="D3" s="4" t="str">
        <v>Scientific publications describing the development and validation of the food safety perception scale</v>
      </c>
      <c r="E3" s="4" t="str">
        <v>Number of knowledge products</v>
      </c>
      <c r="F3" s="4" t="str">
        <v>Bangladesh, Belgium, United States of America, The Socialist Republic of Viet Nam, Ethiopia</v>
      </c>
      <c r="G3" s="5">
        <v>2</v>
      </c>
      <c r="H3" s="5">
        <v>13659</v>
      </c>
      <c r="I3" s="4" t="str">
        <v>Personnel costs based on standard organizational salary scales.</v>
      </c>
      <c r="J3" s="4">
        <v>5522</v>
      </c>
    </row>
    <row r="4" ht="50" customHeight="1">
      <c r="B4" s="4" t="str">
        <v>ILRI</v>
      </c>
      <c r="D4" s="4" t="str">
        <v>User guide for the food safety perception scale</v>
      </c>
      <c r="E4" s="4" t="str">
        <v>Number of knowledge products</v>
      </c>
      <c r="F4" s="4" t="str">
        <v>Bangladesh, United States of America, Belgium, The Socialist Republic of Viet Nam, Ethiopia</v>
      </c>
      <c r="G4" s="5">
        <v>1</v>
      </c>
      <c r="H4" s="5">
        <v>6830</v>
      </c>
      <c r="I4" s="4" t="str">
        <v>Personnel costs based on standard organizational salary scales.</v>
      </c>
      <c r="J4" s="4">
        <v>5525</v>
      </c>
    </row>
    <row r="5" ht="50" customHeight="1">
      <c r="B5" s="4" t="str">
        <v>ILRI</v>
      </c>
      <c r="D5" s="4" t="str">
        <v>Finalized food safety perception scale, an innovation that assesses food safety experiences and concerns of consumers in low- and middle-income countries and diagnoses constraints to consumption of sustainable nutritious foods</v>
      </c>
      <c r="E5" s="4" t="str">
        <v>Number of innovations (innovation development)</v>
      </c>
      <c r="F5" s="4" t="str">
        <v>Bangladesh, United States of America, Belgium, The Socialist Republic of Viet Nam, Ethiopia</v>
      </c>
      <c r="G5" s="5">
        <v>1</v>
      </c>
      <c r="H5" s="5">
        <v>6830</v>
      </c>
      <c r="I5" s="4" t="str">
        <v>Personnel costs based on standard organizational salary scales.</v>
      </c>
      <c r="J5" s="4">
        <v>5527</v>
      </c>
    </row>
    <row r="6" ht="25" customHeight="1">
      <c r="C6" s="9" t="str">
        <v>HLO budget subtotal</v>
      </c>
      <c r="H6" s="9">
        <v>27319</v>
      </c>
      <c r="J6" s="9" t="str">
        <v/>
      </c>
    </row>
    <row r="7" ht="50" customHeight="1">
      <c r="A7" s="8" t="str">
        <v>AOW03: End-to-end Solutions</v>
      </c>
      <c r="B7" s="4" t="str">
        <v>ILRI</v>
      </c>
      <c r="C7" s="4" t="str">
        <v xml:space="preserve"> Suite of integrated end-to-end solutions for food producers, traders, processors, and vendors/retailers that promote  food quality and safety, reduce food loss, and increase profits co-developed, tested, and scaled</v>
      </c>
      <c r="D7" s="4" t="str">
        <v>Published results from several studies studying the nexus of livestock/aquatic ownership, income, and consumption patterns in  relationship to the food environment in Tanzania.34</v>
      </c>
      <c r="E7" s="4" t="str">
        <v>Number of knowledge products</v>
      </c>
      <c r="F7" s="4" t="str">
        <v>United States of America, Malaysia, Uganda, Tanzania, United Republic</v>
      </c>
      <c r="G7" s="5">
        <v>1</v>
      </c>
      <c r="H7" s="5">
        <v>73500</v>
      </c>
      <c r="I7" s="4" t="str">
        <v>Personnel costs based on standard organizational salary scales.</v>
      </c>
      <c r="J7" s="4">
        <v>5598</v>
      </c>
    </row>
    <row r="8" ht="50" customHeight="1">
      <c r="A8" s="4" t="str">
        <v>AOW03: End-to-end Solutions</v>
      </c>
      <c r="B8" s="4" t="str">
        <v>ILRI</v>
      </c>
      <c r="C8" s="4" t="str">
        <v xml:space="preserve"> Suite of end-to-end solutions for terrestrial animal-source food producers, traders, processors, and vendors/retailers that promote  food quality and safety, reduce food loss,and increase profits co-developed, tested, and scaled</v>
      </c>
      <c r="D8" s="4" t="str">
        <v>Published results from the scoping review on terrestrial animal source food and aquatic food consumption in Tanzania.34</v>
      </c>
      <c r="E8" s="4" t="str">
        <v>Number of knowledge products</v>
      </c>
      <c r="F8" s="4" t="str">
        <v>Uganda, Tanzania, United Republic</v>
      </c>
      <c r="G8" s="5">
        <v>1</v>
      </c>
      <c r="H8" s="5">
        <v>73500</v>
      </c>
      <c r="I8" s="4" t="str">
        <v>Personnel costs based on standard organizational salary scales.</v>
      </c>
      <c r="J8" s="4">
        <v>5599</v>
      </c>
    </row>
    <row r="9" ht="50" customHeight="1">
      <c r="A9" s="4" t="str">
        <v>AOW03: End-to-end Solutions</v>
      </c>
      <c r="B9" s="4" t="str">
        <v>ILRI</v>
      </c>
      <c r="C9" s="4" t="str">
        <v>Suite of end-to-end solutions for fruit and vegetable producers, traders, processors, and vendors/retailers that promote food quality and safety, reduce food loss, and increase profits co-developed, tested, and scaled</v>
      </c>
      <c r="D9" s="4" t="str">
        <v>Co-created engagement strategy for national and sub-national stakeholders</v>
      </c>
      <c r="E9" s="4" t="str">
        <v>Number of innovations (innovation development)</v>
      </c>
      <c r="F9" s="4" t="str">
        <v>Uganda, United States of America, Malaysia, Tanzania, United Republic, Sri Lanka</v>
      </c>
      <c r="G9" s="5">
        <v>1</v>
      </c>
      <c r="H9" s="5">
        <v>25000</v>
      </c>
      <c r="I9" s="4" t="str">
        <v>Personnel costs based on standard organizational salary scales.</v>
      </c>
      <c r="J9" s="4">
        <v>8173</v>
      </c>
    </row>
    <row r="10" ht="25" customHeight="1">
      <c r="C10" s="9" t="str">
        <v>HLO budget subtotal</v>
      </c>
      <c r="H10" s="9">
        <v>172000</v>
      </c>
      <c r="J10" s="9" t="str">
        <v/>
      </c>
    </row>
    <row r="11" ht="50" customHeight="1">
      <c r="A11" s="8" t="str">
        <v>AOW06: Transformative leadership</v>
      </c>
      <c r="B11" s="4" t="str">
        <v>ILRI</v>
      </c>
      <c r="C11" s="4" t="str">
        <v xml:space="preserve">Targeted capacity-sharing events and activities that promote diet-focused thinking for regional food system stakeholders </v>
      </c>
      <c r="D11" s="4" t="str">
        <v>Report describing actions to strengthen diet-centered food systems thinking in the latest CAADP Strategy and Action Plan.46</v>
      </c>
      <c r="E11" s="4" t="str">
        <v>Number of knowledge products</v>
      </c>
      <c r="F11" s="4" t="str">
        <v>Kenya, Ethiopia</v>
      </c>
      <c r="G11" s="5">
        <v>1</v>
      </c>
      <c r="H11" s="5">
        <v>41667</v>
      </c>
      <c r="I11" s="4" t="str">
        <v>Personnel costs based on standard organizational salary scales.</v>
      </c>
      <c r="J11" s="4">
        <v>5627</v>
      </c>
    </row>
    <row r="12" ht="50" customHeight="1" xml:space="preserve">
      <c r="B12" s="4" t="str">
        <v>ILRI</v>
      </c>
      <c r="D12" s="4" t="str" xml:space="preserve">
        <v xml:space="preserve">Capacity needs assessment report on policy actions and strategic engagement to influence food systems thinking among different stakeholders including communities of practice
</v>
      </c>
      <c r="E12" s="4" t="str">
        <v>Number of knowledge products</v>
      </c>
      <c r="F12" s="4" t="str">
        <v>United States of America, Bangladesh, Ethiopia, Tanzania, United Republic, Honduras, Philippines, The Socialist Republic of Viet Nam</v>
      </c>
      <c r="G12" s="5">
        <v>1</v>
      </c>
      <c r="H12" s="5">
        <v>41666</v>
      </c>
      <c r="I12" s="4" t="str">
        <v>Personnel costs based on standard organizational salary scales.</v>
      </c>
      <c r="J12" s="4">
        <v>8166</v>
      </c>
    </row>
    <row r="13" ht="50" customHeight="1">
      <c r="B13" s="4" t="str">
        <v>ILRI</v>
      </c>
      <c r="D13" s="4" t="str">
        <v>Bi-monthly webinar series for targeted stakeholders that can support regional coordination of food systems transformation efforts and agendas</v>
      </c>
      <c r="E13" s="4" t="str">
        <v>custom</v>
      </c>
      <c r="F13" s="4" t="str">
        <v>India, United States of America, Honduras, Bangladesh, Ethiopia, Tanzania, United Republic, Philippines, The Socialist Republic of Viet Nam</v>
      </c>
      <c r="G13" s="5">
        <v>2</v>
      </c>
      <c r="H13" s="5">
        <v>83334</v>
      </c>
      <c r="I13" s="4" t="str">
        <v>Personnel costs based on standard organizational salary scales.</v>
      </c>
      <c r="J13" s="4">
        <v>8170</v>
      </c>
    </row>
    <row r="14" ht="50" customHeight="1">
      <c r="A14" s="4" t="str">
        <v>AOW06: Transformative leadership</v>
      </c>
      <c r="B14" s="4" t="str">
        <v>ILRI</v>
      </c>
      <c r="C14" s="4" t="str">
        <v xml:space="preserve">Amplify external profile of BDN/CGIAR through dissemination activities and engagements at Priority Global Nutrition events (Rome Nutrition Week, Micronutrient Forum) </v>
      </c>
      <c r="D14" s="4" t="str">
        <v>Engagement with stakeholders attending the Micronutrient Forum to promote alignment and collective action across sectors working on nutrition science, policy, and implementation</v>
      </c>
      <c r="E14" s="4" t="str">
        <v>custom</v>
      </c>
      <c r="F14" s="4" t="str">
        <v>Ethiopia, Kenya, Ghana</v>
      </c>
      <c r="G14" s="5">
        <v>1</v>
      </c>
      <c r="H14" s="5">
        <v>41667</v>
      </c>
      <c r="I14" s="4" t="str">
        <v>Communication and dissemination costs include design, printing, and event participation.</v>
      </c>
      <c r="J14" s="4">
        <v>7876</v>
      </c>
    </row>
    <row r="15" ht="50" customHeight="1">
      <c r="B15" s="4" t="str">
        <v>ILRI</v>
      </c>
      <c r="D15" s="4" t="str">
        <v>Brief describing outcomes from participants in the side session on diet centered thinking gaps and opportunities at the Micronutrient Forum</v>
      </c>
      <c r="E15" s="4" t="str">
        <v>Number of knowledge products</v>
      </c>
      <c r="F15" s="4" t="str">
        <v>Ethiopia, Kenya</v>
      </c>
      <c r="G15" s="5">
        <v>1</v>
      </c>
      <c r="H15" s="5">
        <v>41666</v>
      </c>
      <c r="I15" s="4" t="str">
        <v>Personnel costs based on standard organizational salary scales.</v>
      </c>
      <c r="J15" s="4">
        <v>8165</v>
      </c>
    </row>
    <row r="16" ht="50" customHeight="1">
      <c r="A16" s="4" t="str">
        <v>AOW06: Transformative leadership</v>
      </c>
      <c r="B16" s="4" t="str">
        <v>ILRI</v>
      </c>
      <c r="C16" s="4" t="str">
        <v xml:space="preserve">Amplify external profile of BDN/CGIAR through Regional dissemination activities and Food System Transformation engagements (CAADAP, ASEAN, UN FS Regional meetings)   </v>
      </c>
      <c r="D16" s="4" t="str">
        <v>Engagement with stakeholders at the Africa Food System Forum to promote diet-centered thinking.46</v>
      </c>
      <c r="E16" s="4" t="str">
        <v>custom</v>
      </c>
      <c r="F16" s="4" t="str">
        <v>Ethiopia, Kenya, India, Rwanda</v>
      </c>
      <c r="G16" s="5">
        <v>1</v>
      </c>
      <c r="H16" s="5">
        <v>41667</v>
      </c>
      <c r="I16" s="4" t="str">
        <v>Communication and dissemination costs include design, printing, and event participation.</v>
      </c>
      <c r="J16" s="4">
        <v>7880</v>
      </c>
    </row>
    <row r="17" ht="50" customHeight="1">
      <c r="A17" s="4" t="str">
        <v>AOW06: Transformative leadership</v>
      </c>
      <c r="B17" s="4" t="str">
        <v>ILRI</v>
      </c>
      <c r="C17" s="4" t="str">
        <v xml:space="preserve">Tools, expert community and capacities to guide CGIAR portfolio along pathways that lead to credible impacts on nutrition health and food security </v>
      </c>
      <c r="D17" s="4" t="str">
        <v>Diet-centered discussion paper</v>
      </c>
      <c r="E17" s="4" t="str">
        <v>Number of knowledge products</v>
      </c>
      <c r="F17" s="4" t="str">
        <v>Kenya, Malaysia, Colombia, United States of America, Philippines, Tanzania, United Republic, Honduras, Ethiopia, The Socialist Republic of Viet Nam, Bangladesh</v>
      </c>
      <c r="G17" s="5">
        <v>1</v>
      </c>
      <c r="H17" s="5">
        <v>41667</v>
      </c>
      <c r="I17" s="4" t="str">
        <v>Personnel costs based on standard organizational salary scales.</v>
      </c>
      <c r="J17" s="4">
        <v>8014</v>
      </c>
    </row>
    <row r="18" ht="50" customHeight="1">
      <c r="A18" s="4" t="str">
        <v>AOW06: Transformative leadership</v>
      </c>
      <c r="B18" s="4" t="str">
        <v>ILRI</v>
      </c>
      <c r="C18" s="4" t="str">
        <v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v>
      </c>
      <c r="D18" s="4" t="str">
        <v>Engagement with stakeholders at the Global Livestock Forum to promote diet-centered thinking</v>
      </c>
      <c r="E18" s="4" t="str">
        <v>custom</v>
      </c>
      <c r="F18" s="4" t="str">
        <v>Ethiopia, Kenya</v>
      </c>
      <c r="G18" s="5">
        <v>1</v>
      </c>
      <c r="H18" s="5">
        <v>41666</v>
      </c>
      <c r="I18" s="4" t="str">
        <v>Communication and dissemination costs include design, printing, and event participation.</v>
      </c>
      <c r="J18" s="4">
        <v>8167</v>
      </c>
    </row>
    <row r="19" ht="25" customHeight="1">
      <c r="C19" s="9" t="str">
        <v>HLO budget subtotal</v>
      </c>
      <c r="H19" s="9">
        <v>375000</v>
      </c>
      <c r="J19" s="9" t="str">
        <v/>
      </c>
    </row>
  </sheetData>
  <mergeCells count="15">
    <mergeCell ref="A1:A2"/>
    <mergeCell ref="B1:B2"/>
    <mergeCell ref="C1:C2"/>
    <mergeCell ref="D1:H1"/>
    <mergeCell ref="I1:I2"/>
    <mergeCell ref="J1:J2"/>
    <mergeCell ref="C3:C5"/>
    <mergeCell ref="C6:G6"/>
    <mergeCell ref="A3:A6"/>
    <mergeCell ref="C10:G10"/>
    <mergeCell ref="A7:A10"/>
    <mergeCell ref="C11:C13"/>
    <mergeCell ref="C14:C15"/>
    <mergeCell ref="C19:G19"/>
    <mergeCell ref="A11:A19"/>
  </mergeCells>
  <ignoredErrors>
    <ignoredError numberStoredAsText="1" sqref="A1:J1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Configuration and Integration of AoWs</v>
      </c>
      <c r="D2" s="4" t="str">
        <v>Food producers, traders, processors, and/or retailers adopt evidence-based solutions to improve food safety and quality in target markets​ Food traders, processors, and/or retailers adopt effective components of bundled solutions to reduce food loss and waste</v>
      </c>
      <c r="E2" s="4" t="str">
        <v>N/A</v>
      </c>
      <c r="F2" s="5">
        <v>0</v>
      </c>
      <c r="G2" s="4" t="str">
        <v/>
      </c>
      <c r="H2" s="4">
        <v>697</v>
      </c>
    </row>
    <row r="3" ht="60" customHeight="1">
      <c r="A3" s="4" t="str">
        <v>AOW00: Cross Cutting</v>
      </c>
      <c r="B3" s="4" t="str">
        <v>ILRI</v>
      </c>
      <c r="C3" s="4" t="str">
        <v>Portfolio-Level Nutrition Contribution</v>
      </c>
      <c r="D3" s="4" t="str">
        <v>Consumers demand and consume sustainable healthy diets</v>
      </c>
      <c r="E3" s="4" t="str">
        <v>N/A</v>
      </c>
      <c r="F3" s="5">
        <v>0</v>
      </c>
      <c r="G3" s="4" t="str">
        <v/>
      </c>
      <c r="H3" s="4">
        <v>717</v>
      </c>
    </row>
    <row r="4" ht="25" customHeight="1">
      <c r="C4" s="9" t="str">
        <v>MELIA budget subtotal</v>
      </c>
      <c r="F4" s="9">
        <v>0</v>
      </c>
      <c r="G4" s="9" t="str">
        <v/>
      </c>
      <c r="H4" s="9" t="str">
        <v/>
      </c>
    </row>
    <row r="5" ht="60" customHeight="1">
      <c r="A5" s="8" t="str">
        <v>AOW01: Consumers and Food Environments</v>
      </c>
      <c r="B5" s="4" t="str">
        <v>ILRI</v>
      </c>
      <c r="C5" s="4" t="str">
        <v>Configuration and Integration of AoWs</v>
      </c>
      <c r="D5" s="4" t="str">
        <v>Food producers, traders, processors, and/or retailers adopt evidence-based solutions to improve food safety and quality in target markets​ Food traders, processors, and/or retailers adopt effective components of bundled solutions to reduce food loss and waste</v>
      </c>
      <c r="E5" s="4" t="str">
        <v>N/A</v>
      </c>
      <c r="F5" s="5">
        <v>0</v>
      </c>
      <c r="G5" s="4" t="str">
        <v/>
      </c>
      <c r="H5" s="4">
        <v>691</v>
      </c>
    </row>
    <row r="6" ht="25" customHeight="1">
      <c r="C6" s="9" t="str">
        <v>MELIA budget subtotal</v>
      </c>
      <c r="F6" s="9">
        <v>0</v>
      </c>
      <c r="G6" s="9" t="str">
        <v/>
      </c>
      <c r="H6" s="9" t="str">
        <v/>
      </c>
    </row>
    <row r="7" ht="60" customHeight="1">
      <c r="A7" s="8" t="str">
        <v>AOW02: Market Systems</v>
      </c>
      <c r="B7" s="4" t="str">
        <v>ILRI</v>
      </c>
      <c r="C7" s="4" t="str">
        <v>Configuration and Integration of AoWs</v>
      </c>
      <c r="D7" s="4" t="str">
        <v>Food producers, traders, processors, and/or retailers adopt evidence-based solutions to improve food safety and quality in target markets​ Food traders, processors, and/or retailers adopt effective components of bundled solutions to reduce food loss and waste</v>
      </c>
      <c r="E7" s="4" t="str">
        <v>N/A</v>
      </c>
      <c r="F7" s="5">
        <v>0</v>
      </c>
      <c r="G7" s="4" t="str">
        <v/>
      </c>
      <c r="H7" s="4">
        <v>694</v>
      </c>
    </row>
    <row r="8" ht="25" customHeight="1">
      <c r="C8" s="9" t="str">
        <v>MELIA budget subtotal</v>
      </c>
      <c r="F8" s="9">
        <v>0</v>
      </c>
      <c r="G8" s="9" t="str">
        <v/>
      </c>
      <c r="H8" s="9" t="str">
        <v/>
      </c>
    </row>
    <row r="9" ht="60" customHeight="1">
      <c r="A9" s="8" t="str">
        <v>AOW03: End-to-end Solutions</v>
      </c>
      <c r="B9" s="4" t="str">
        <v>ILRI</v>
      </c>
      <c r="C9" s="4" t="str">
        <v>Configuration and Integration of AoWs</v>
      </c>
      <c r="D9" s="4" t="str">
        <v>Food producers, traders, processors, and/or retailers adopt evidence-based solutions to improve food safety and quality in target markets​ Food traders, processors, and/or retailers adopt effective components of bundled solutions to reduce food loss and waste</v>
      </c>
      <c r="E9" s="4" t="str">
        <v>N/A</v>
      </c>
      <c r="F9" s="5">
        <v>0</v>
      </c>
      <c r="G9" s="4" t="str">
        <v/>
      </c>
      <c r="H9" s="4">
        <v>688</v>
      </c>
    </row>
    <row r="10" ht="25" customHeight="1">
      <c r="C10" s="9" t="str">
        <v>MELIA budget subtotal</v>
      </c>
      <c r="F10" s="9">
        <v>0</v>
      </c>
      <c r="G10" s="9" t="str">
        <v/>
      </c>
      <c r="H10" s="9" t="str">
        <v/>
      </c>
    </row>
  </sheetData>
  <mergeCells count="8">
    <mergeCell ref="C4:E4"/>
    <mergeCell ref="A2:A4"/>
    <mergeCell ref="C6:E6"/>
    <mergeCell ref="A5:A6"/>
    <mergeCell ref="C8:E8"/>
    <mergeCell ref="A7:A8"/>
    <mergeCell ref="C10:E10"/>
    <mergeCell ref="A9:A10"/>
  </mergeCells>
  <ignoredErrors>
    <ignoredError numberStoredAsText="1" sqref="A1:H10"/>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27319</v>
      </c>
      <c r="D2" s="5">
        <v>0</v>
      </c>
      <c r="E2" s="5">
        <v>152012</v>
      </c>
      <c r="F2" s="5">
        <v>0</v>
      </c>
      <c r="G2" s="5">
        <v>0</v>
      </c>
      <c r="H2" s="5">
        <v>202801</v>
      </c>
      <c r="I2" s="5">
        <f>=SUM(B2:H2)</f>
        <v>0</v>
      </c>
    </row>
    <row r="3" ht="20" customHeight="1">
      <c r="A3" s="4" t="str">
        <v>Operations (supplies, consultants, travels, workshops, other)</v>
      </c>
      <c r="B3" s="5">
        <v>0</v>
      </c>
      <c r="C3" s="5">
        <v>0</v>
      </c>
      <c r="D3" s="5">
        <v>0</v>
      </c>
      <c r="E3" s="5">
        <v>19988</v>
      </c>
      <c r="F3" s="5">
        <v>0</v>
      </c>
      <c r="G3" s="5">
        <v>0</v>
      </c>
      <c r="H3" s="5">
        <v>172199</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Consumers and Food Environments</v>
      </c>
      <c r="B2" s="4" t="str">
        <v>ILRI</v>
      </c>
      <c r="C2" s="4" t="str">
        <v>Ethiopia</v>
      </c>
      <c r="D2" s="5">
        <v>100</v>
      </c>
      <c r="E2" s="4">
        <v>2361</v>
      </c>
    </row>
    <row r="3" ht="45" customHeight="1">
      <c r="A3" s="8" t="str">
        <v>AOW03: End-to-end Solutions</v>
      </c>
      <c r="B3" s="4" t="str">
        <v>ILRI</v>
      </c>
      <c r="C3" s="4" t="str">
        <v>Tanzania</v>
      </c>
      <c r="D3" s="5">
        <v>100</v>
      </c>
      <c r="E3" s="4">
        <v>3347</v>
      </c>
    </row>
    <row r="4" ht="45" customHeight="1">
      <c r="A4" s="8" t="str">
        <v>AOW06: Transformative leadership</v>
      </c>
      <c r="B4" s="4" t="str">
        <v>ILRI</v>
      </c>
      <c r="C4" s="4" t="str">
        <v>Ethiopia</v>
      </c>
      <c r="D4" s="5">
        <v>25</v>
      </c>
      <c r="E4" s="4">
        <v>3348</v>
      </c>
    </row>
    <row r="5" ht="45" customHeight="1">
      <c r="A5" s="4" t="str">
        <v>AOW06: Transformative leadership</v>
      </c>
      <c r="B5" s="4" t="str">
        <v>ILRI</v>
      </c>
      <c r="C5" s="4" t="str">
        <v>Ghana</v>
      </c>
      <c r="D5" s="5">
        <v>25</v>
      </c>
      <c r="E5" s="4">
        <v>3351</v>
      </c>
    </row>
    <row r="6" ht="45" customHeight="1">
      <c r="A6" s="4" t="str">
        <v>AOW06: Transformative leadership</v>
      </c>
      <c r="B6" s="4" t="str">
        <v>ILRI</v>
      </c>
      <c r="C6" s="4" t="str">
        <v>Kenya</v>
      </c>
      <c r="D6" s="5">
        <v>25</v>
      </c>
      <c r="E6" s="4">
        <v>3349</v>
      </c>
    </row>
    <row r="7" ht="45" customHeight="1">
      <c r="A7" s="4" t="str">
        <v>AOW06: Transformative leadership</v>
      </c>
      <c r="B7" s="4" t="str">
        <v>ILRI</v>
      </c>
      <c r="C7" s="4" t="str">
        <v>Tanzania</v>
      </c>
      <c r="D7" s="5">
        <v>25</v>
      </c>
      <c r="E7" s="4">
        <v>3350</v>
      </c>
    </row>
  </sheetData>
  <mergeCells count="3">
    <mergeCell ref="A2"/>
    <mergeCell ref="A3"/>
    <mergeCell ref="A4: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Consumers and Food Environments</v>
      </c>
      <c r="B2" s="4" t="str">
        <v>ILRI</v>
      </c>
      <c r="C2" s="4" t="str">
        <v>Global</v>
      </c>
      <c r="D2" s="4" t="str">
        <v>global</v>
      </c>
      <c r="E2" s="5">
        <v>10</v>
      </c>
      <c r="F2" s="4">
        <v>1007</v>
      </c>
    </row>
    <row r="3" ht="45" customHeight="1">
      <c r="A3" s="4" t="str">
        <v>AOW01: Consumers and Food Environments</v>
      </c>
      <c r="B3" s="4" t="str">
        <v>ILRI</v>
      </c>
      <c r="C3" s="4" t="str">
        <v>Bangladesh</v>
      </c>
      <c r="D3" s="4" t="str">
        <v>country</v>
      </c>
      <c r="E3" s="5">
        <v>30</v>
      </c>
      <c r="F3" s="4">
        <v>1004</v>
      </c>
    </row>
    <row r="4" ht="45" customHeight="1">
      <c r="A4" s="4" t="str">
        <v>AOW01: Consumers and Food Environments</v>
      </c>
      <c r="B4" s="4" t="str">
        <v>ILRI</v>
      </c>
      <c r="C4" s="4" t="str">
        <v>Ethiopia</v>
      </c>
      <c r="D4" s="4" t="str">
        <v>country</v>
      </c>
      <c r="E4" s="5">
        <v>30</v>
      </c>
      <c r="F4" s="4">
        <v>1005</v>
      </c>
    </row>
    <row r="5" ht="45" customHeight="1">
      <c r="A5" s="4" t="str">
        <v>AOW01: Consumers and Food Environments</v>
      </c>
      <c r="B5" s="4" t="str">
        <v>ILRI</v>
      </c>
      <c r="C5" s="4" t="str">
        <v>The Socialist Republic of Viet Nam</v>
      </c>
      <c r="D5" s="4" t="str">
        <v>country</v>
      </c>
      <c r="E5" s="5">
        <v>30</v>
      </c>
      <c r="F5" s="4">
        <v>1006</v>
      </c>
    </row>
    <row r="6" ht="45" customHeight="1">
      <c r="A6" s="8" t="str">
        <v>AOW03: End-to-end Solutions</v>
      </c>
      <c r="B6" s="4" t="str">
        <v>ILRI</v>
      </c>
      <c r="C6" s="4" t="str">
        <v>Tanzania</v>
      </c>
      <c r="D6" s="4" t="str">
        <v>country</v>
      </c>
      <c r="E6" s="5">
        <v>100</v>
      </c>
      <c r="F6" s="4">
        <v>1664</v>
      </c>
    </row>
    <row r="7" ht="45" customHeight="1">
      <c r="A7" s="8" t="str">
        <v>AOW06: Transformative leadership</v>
      </c>
      <c r="B7" s="4" t="str">
        <v>ILRI</v>
      </c>
      <c r="C7" s="4" t="str">
        <v>Global</v>
      </c>
      <c r="D7" s="4" t="str">
        <v>global</v>
      </c>
      <c r="E7" s="5">
        <v>100</v>
      </c>
      <c r="F7" s="4">
        <v>1663</v>
      </c>
    </row>
  </sheetData>
  <mergeCells count="3">
    <mergeCell ref="A2: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