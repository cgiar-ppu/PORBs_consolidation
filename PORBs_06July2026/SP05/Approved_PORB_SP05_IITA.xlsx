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94394</v>
      </c>
      <c r="K4" s="5">
        <v>94394</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4</v>
      </c>
      <c r="C8" s="5">
        <v>302133</v>
      </c>
      <c r="D8" s="5">
        <v>14</v>
      </c>
      <c r="E8" s="5">
        <v>567025</v>
      </c>
      <c r="F8" s="5">
        <v>0</v>
      </c>
      <c r="G8" s="5">
        <v>0</v>
      </c>
      <c r="H8" s="5">
        <v>6</v>
      </c>
      <c r="I8" s="5">
        <v>80675</v>
      </c>
      <c r="J8" s="5">
        <v>949833</v>
      </c>
      <c r="K8" s="5">
        <v>949833</v>
      </c>
      <c r="L8" s="5">
        <v>368600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302133</v>
      </c>
      <c r="D11" s="7" t="str">
        <v/>
      </c>
      <c r="E11" s="7">
        <v>567025</v>
      </c>
      <c r="F11" s="7" t="str">
        <v/>
      </c>
      <c r="G11" s="7">
        <v>0</v>
      </c>
      <c r="H11" s="7" t="str">
        <v/>
      </c>
      <c r="I11" s="7">
        <v>80675</v>
      </c>
      <c r="J11" s="7">
        <v>1044227</v>
      </c>
      <c r="K11" s="7">
        <v>1044227</v>
      </c>
      <c r="L11" s="7">
        <v>368600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AOW04: Biofortified and Health-enhancing Staples</v>
      </c>
      <c r="B3" s="4" t="str">
        <v>IITA</v>
      </c>
      <c r="C3" s="4" t="str">
        <v>Suite of solutions for producers and processors that address constraints to sustainable healthy diets co-developed, tested, and scaled with technical support and country engagement</v>
      </c>
      <c r="D3" s="4" t="str">
        <v>Workshops to convene producers and processors with urban market traders and vendors to discuss procurement bottlenecks, regulatory alignment, and market entry for biofortified products</v>
      </c>
      <c r="E3" s="4" t="str">
        <v>custom</v>
      </c>
      <c r="F3" s="4" t="str">
        <v>Nigeria, Tanzania, United Republic, Kenya</v>
      </c>
      <c r="G3" s="5">
        <v>3</v>
      </c>
      <c r="H3" s="5">
        <v>40337</v>
      </c>
      <c r="I3" s="4" t="str">
        <v>Meeting costs include venue, catering, materials, and facilitators</v>
      </c>
      <c r="J3" s="4">
        <v>5606</v>
      </c>
    </row>
    <row r="4" ht="50" customHeight="1">
      <c r="B4" s="4" t="str">
        <v>IITA</v>
      </c>
      <c r="D4" s="4" t="str">
        <v>Policy brief outlining actionable government measures to enable processors to effectively supply institutional consumers with safe, nutritious, and affordable biofortified, health-enhancing staples foods/products</v>
      </c>
      <c r="E4" s="4" t="str">
        <v>Number of knowledge products</v>
      </c>
      <c r="F4" s="4" t="str">
        <v>Kenya, Nigeria, Tanzania, United Republic</v>
      </c>
      <c r="G4" s="5">
        <v>1</v>
      </c>
      <c r="H4" s="5">
        <v>26892</v>
      </c>
      <c r="I4" s="4" t="str">
        <v>Personnel costs based on standard organizational salary scales.</v>
      </c>
      <c r="J4" s="4">
        <v>8041</v>
      </c>
    </row>
    <row r="5" ht="50" customHeight="1">
      <c r="B5" s="4" t="str">
        <v>IITA</v>
      </c>
      <c r="D5" s="4" t="str">
        <v>Training manual for OFSP puree processors and retailers</v>
      </c>
      <c r="E5" s="4" t="str">
        <v>Number of knowledge products</v>
      </c>
      <c r="F5" s="4" t="str">
        <v>Nigeria, Tanzania, United Republic, Kenya</v>
      </c>
      <c r="G5" s="5">
        <v>1</v>
      </c>
      <c r="H5" s="5">
        <v>26892</v>
      </c>
      <c r="I5" s="4" t="str">
        <v>Personnel costs based on standard organizational salary scales.</v>
      </c>
      <c r="J5" s="4">
        <v>8043</v>
      </c>
    </row>
    <row r="6" ht="50" customHeight="1">
      <c r="B6" s="4" t="str">
        <v>IITA</v>
      </c>
      <c r="D6" s="4" t="str">
        <v>Prototype of new food product made from biofortified ingredients, including recipe for processors on how to make it at scale and a strategy on how traders and vendors can market it to consumers</v>
      </c>
      <c r="E6" s="4" t="str">
        <v>Number of innovations (innovation development)</v>
      </c>
      <c r="F6" s="4" t="str">
        <v>Kenya, Tanzania, United Republic, Nigeria</v>
      </c>
      <c r="G6" s="5">
        <v>1</v>
      </c>
      <c r="H6" s="5">
        <v>26891</v>
      </c>
      <c r="I6" s="4" t="str">
        <v>Estimated costs for time of interdisciplinary teams of researchers and local partners, data collection costs</v>
      </c>
      <c r="J6" s="4">
        <v>8148</v>
      </c>
    </row>
    <row r="7" ht="50" customHeight="1">
      <c r="B7" s="4" t="str">
        <v>IITA</v>
      </c>
      <c r="D7"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7" s="4" t="str">
        <v>Number of knowledge products</v>
      </c>
      <c r="F7" s="4" t="str">
        <v>Rwanda, Nigeria, Kenya</v>
      </c>
      <c r="G7" s="5">
        <v>1</v>
      </c>
      <c r="H7" s="5">
        <v>32575</v>
      </c>
      <c r="I7" s="4" t="str">
        <v>Estimated costs for time of interdisciplinary teams of researchers and local partners, data collection costs</v>
      </c>
      <c r="J7" s="4">
        <v>8195</v>
      </c>
    </row>
    <row r="8" ht="50" customHeight="1">
      <c r="A8" s="4" t="str">
        <v>AOW04: Biofortified and Health-enhancing Staples</v>
      </c>
      <c r="B8" s="4" t="str">
        <v>IITA</v>
      </c>
      <c r="C8" s="4" t="str">
        <v xml:space="preserve"> Policy options and engagement that address constraints to sustainable healthy diets (AoW4)</v>
      </c>
      <c r="D8" s="4" t="str">
        <v>Validated national recommendations linking policy, regulatory, and technical pathways for embedding biofortified crops into breeding pipelines</v>
      </c>
      <c r="E8" s="4" t="str">
        <v>Number of knowledge products</v>
      </c>
      <c r="F8" s="4" t="str">
        <v>United States of America, Nigeria, Kenya, Tanzania, United Republic, Ethiopia</v>
      </c>
      <c r="G8" s="5">
        <v>1</v>
      </c>
      <c r="H8" s="5">
        <v>38445</v>
      </c>
      <c r="I8" s="4" t="str">
        <v xml:space="preserve">Estimated costs for time of interdisciplinary teams of researchers and local partners, data collection costs. </v>
      </c>
      <c r="J8" s="4">
        <v>5614</v>
      </c>
    </row>
    <row r="9" ht="50" customHeight="1">
      <c r="B9" s="4" t="str">
        <v>IITA</v>
      </c>
      <c r="D9" s="4" t="str">
        <v>Recommendations for pilot product profiles integrating nutrition traits</v>
      </c>
      <c r="E9" s="4" t="str">
        <v>Number of knowledge products</v>
      </c>
      <c r="F9" s="4" t="str">
        <v>United States of America, Nigeria, Tanzania, United Republic, Kenya, Ethiopia</v>
      </c>
      <c r="G9" s="5">
        <v>1</v>
      </c>
      <c r="H9" s="5">
        <v>38446</v>
      </c>
      <c r="I9" s="4" t="str">
        <v>Personnel costs based on standard organizational salary scales.</v>
      </c>
      <c r="J9" s="4">
        <v>5615</v>
      </c>
    </row>
    <row r="10" ht="50" customHeight="1">
      <c r="B10" s="4" t="str">
        <v>IITA</v>
      </c>
      <c r="D10" s="4" t="str">
        <v>Nutrition-sensitive breeding guidelines and policy briefs aligned to NAIPs</v>
      </c>
      <c r="E10" s="4" t="str">
        <v>Number of knowledge products</v>
      </c>
      <c r="F10" s="4" t="str">
        <v>United States of America, Nigeria, Tanzania, United Republic, Kenya, Ethiopia</v>
      </c>
      <c r="G10" s="5">
        <v>1</v>
      </c>
      <c r="H10" s="5">
        <v>38445</v>
      </c>
      <c r="I10" s="4" t="str">
        <v>Personnel costs based on standard organizational salary scales.</v>
      </c>
      <c r="J10" s="4">
        <v>5616</v>
      </c>
    </row>
    <row r="11" ht="50" customHeight="1">
      <c r="A11" s="4" t="str">
        <v>AOW04: Biofortified and Health-enhancing Staples</v>
      </c>
      <c r="B11" s="4" t="str">
        <v>IITA</v>
      </c>
      <c r="C11" s="4" t="str">
        <v>Suite of solutions to support consumers awareness, preference, affordability and utilization of biofortified and health-enhancing crops in their diets</v>
      </c>
      <c r="D11" s="4" t="str">
        <v>Policy brief on best practices for the responsible use of consumer nudges</v>
      </c>
      <c r="E11" s="4" t="str">
        <v>Number of knowledge products</v>
      </c>
      <c r="F11" s="4" t="str">
        <v>Côte d'Ivoire, Kenya, Tanzania, United Republic, Nigeria</v>
      </c>
      <c r="G11" s="5">
        <v>1</v>
      </c>
      <c r="H11" s="5">
        <v>43558</v>
      </c>
      <c r="I11" s="4" t="str">
        <v>Personnel costs based on standard organizational salary scales.</v>
      </c>
      <c r="J11" s="4">
        <v>5623</v>
      </c>
    </row>
    <row r="12" ht="50" customHeight="1">
      <c r="B12" s="4" t="str">
        <v>IITA</v>
      </c>
      <c r="D12" s="4" t="str">
        <v>Behavior Change Communication Toolkit to support consumers awareness, preference, affordability and utilization of biofortified food</v>
      </c>
      <c r="E12" s="4" t="str">
        <v>Number of innovations (innovation development)</v>
      </c>
      <c r="F12" s="4" t="str">
        <v>Côte d'Ivoire, Nigeria</v>
      </c>
      <c r="G12" s="5">
        <v>1</v>
      </c>
      <c r="H12" s="5">
        <v>43558</v>
      </c>
      <c r="I12" s="4" t="str">
        <v xml:space="preserve">Estimated costs for time of interdisciplinary teams of researchers and local partners, data collection costs. </v>
      </c>
      <c r="J12" s="4">
        <v>5624</v>
      </c>
    </row>
    <row r="13" ht="50" customHeight="1">
      <c r="B13" s="4" t="str">
        <v>IITA</v>
      </c>
      <c r="D13" s="4" t="str">
        <v>Technical report describing the study on interventions that make opportunity crops (taro, Bambara groundnut, and biofortified rice) desirable and culturally relevant</v>
      </c>
      <c r="E13" s="4" t="str">
        <v>Number of knowledge products</v>
      </c>
      <c r="F13" s="4" t="str">
        <v>Côte d'Ivoire, Nigeria, Kenya, Tanzania, United Republic</v>
      </c>
      <c r="G13" s="5">
        <v>1</v>
      </c>
      <c r="H13" s="5">
        <v>43559</v>
      </c>
      <c r="I13" s="4" t="str">
        <v>Estimated costs for time of interdisciplinary teams of researchers and local partners, data collection costs</v>
      </c>
      <c r="J13" s="4">
        <v>5625</v>
      </c>
    </row>
    <row r="14" ht="50" customHeight="1">
      <c r="B14" s="4" t="str">
        <v>IITA</v>
      </c>
      <c r="D14" s="4" t="str">
        <v>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v>
      </c>
      <c r="E14" s="4" t="str">
        <v>Number of knowledge products</v>
      </c>
      <c r="F14" s="4" t="str">
        <v>Rwanda, Nigeria</v>
      </c>
      <c r="G14" s="5">
        <v>1</v>
      </c>
      <c r="H14" s="5">
        <v>97725</v>
      </c>
      <c r="I14" s="4" t="str">
        <v>Estimated costs for time of interdisciplinary teams of researchers and local partners, data collection costs</v>
      </c>
      <c r="J14" s="4">
        <v>8047</v>
      </c>
    </row>
    <row r="15" ht="50" customHeight="1">
      <c r="B15" s="4" t="str">
        <v>IITA</v>
      </c>
      <c r="D15" s="4" t="str">
        <v>Catalog on biofortified crops and products</v>
      </c>
      <c r="E15" s="4" t="str">
        <v>Number of innovations (innovation development)</v>
      </c>
      <c r="F15" s="4" t="str">
        <v>Nigeria, Tanzania, United Republic, Kenya</v>
      </c>
      <c r="G15" s="5">
        <v>1</v>
      </c>
      <c r="H15" s="5">
        <v>115842</v>
      </c>
      <c r="I15" s="4" t="str">
        <v>Estimated costs for time of interdisciplinary teams of researchers and local partners, data collection costs</v>
      </c>
      <c r="J15" s="4">
        <v>8230</v>
      </c>
    </row>
    <row r="16" ht="50" customHeight="1">
      <c r="B16" s="4" t="str">
        <v>IITA</v>
      </c>
      <c r="D16" s="4" t="str">
        <v>Critical Capabilities: Atlas on biofortified crops and products</v>
      </c>
      <c r="E16" s="4" t="str">
        <v>Number of innovations (innovation development)</v>
      </c>
      <c r="F16" s="4" t="str">
        <v>Tanzania, United Republic, Kenya, Nigeria</v>
      </c>
      <c r="G16" s="5">
        <v>1</v>
      </c>
      <c r="H16" s="5">
        <v>115842</v>
      </c>
      <c r="I16" s="4" t="str">
        <v>Estimated costs for time of interdisciplinary teams of researchers and local partners, data collection costs</v>
      </c>
      <c r="J16" s="4">
        <v>8231</v>
      </c>
    </row>
    <row r="17" ht="50" customHeight="1">
      <c r="B17" s="4" t="str">
        <v>IITA</v>
      </c>
      <c r="D17"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17" s="4" t="str">
        <v>Number of knowledge products</v>
      </c>
      <c r="F17" s="4" t="str">
        <v>Rwanda, Nigeria, Kenya</v>
      </c>
      <c r="G17" s="5">
        <v>1</v>
      </c>
      <c r="H17" s="5">
        <v>32575</v>
      </c>
      <c r="I17" s="4" t="str">
        <v>Estimated costs for time of interdisciplinary teams of researchers and local partners, data collection costs</v>
      </c>
      <c r="J17" s="4">
        <v>8314</v>
      </c>
    </row>
    <row r="18" ht="50" customHeight="1">
      <c r="A18" s="4" t="str">
        <v>AOW04: Biofortified and Health-enhancing Staples</v>
      </c>
      <c r="B18" s="4" t="str">
        <v>IITA</v>
      </c>
      <c r="C18" s="4" t="str">
        <v>Suite of solutions for traders and vendors that address constraints to sustainable healthy diets co-developed, tested, and scaled with technical support and country engagement</v>
      </c>
      <c r="D18" s="4" t="str">
        <v>Workshops to convene producers and processors with urban market traders and vendors to discuss procurement bottlenecks, regulatory alignment, and market entry for biofortified products</v>
      </c>
      <c r="E18" s="4" t="str">
        <v>custom</v>
      </c>
      <c r="F18" s="4" t="str">
        <v>Nigeria, Tanzania, United Republic, Kenya</v>
      </c>
      <c r="G18" s="5">
        <v>3</v>
      </c>
      <c r="H18" s="5">
        <v>40338</v>
      </c>
      <c r="I18" s="4" t="str">
        <v>Meeting costs include venue, catering, materials, and facilitators</v>
      </c>
      <c r="J18" s="4">
        <v>8217</v>
      </c>
    </row>
    <row r="19" ht="50" customHeight="1">
      <c r="B19" s="4" t="str">
        <v>IITA</v>
      </c>
      <c r="D19"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19" s="4" t="str">
        <v>Number of knowledge products</v>
      </c>
      <c r="F19" s="4" t="str">
        <v>Rwanda, Nigeria, Kenya</v>
      </c>
      <c r="G19" s="5">
        <v>1</v>
      </c>
      <c r="H19" s="5">
        <v>32575</v>
      </c>
      <c r="I19" s="4" t="str">
        <v>Estimated costs for time of interdisciplinary teams of researchers and local partners, data collection costs</v>
      </c>
      <c r="J19" s="4">
        <v>8312</v>
      </c>
    </row>
    <row r="20" ht="50" customHeight="1">
      <c r="A20" s="4" t="str">
        <v>AOW04: Biofortified and Health-enhancing Staples</v>
      </c>
      <c r="B20" s="4" t="str">
        <v>IITA</v>
      </c>
      <c r="C20" s="4" t="str">
        <v>Framework for embedding nutrition into breeding pipelines and processes.</v>
      </c>
      <c r="D20" s="4" t="str">
        <v>Nutrition-sensitive breeding guidelines and policy briefs aligned to NAIPs</v>
      </c>
      <c r="E20" s="4" t="str">
        <v>Number of knowledge products</v>
      </c>
      <c r="F20" s="4" t="str">
        <v>United States of America, Nigeria, Tanzania, United Republic, Kenya, Ethiopia</v>
      </c>
      <c r="G20" s="5">
        <v>1</v>
      </c>
      <c r="H20" s="5">
        <v>38446</v>
      </c>
      <c r="I20" s="4" t="str">
        <v>Personnel costs based on standard organizational salary scales.</v>
      </c>
      <c r="J20" s="4">
        <v>8224</v>
      </c>
    </row>
    <row r="21" ht="50" customHeight="1">
      <c r="B21" s="4" t="str">
        <v>IITA</v>
      </c>
      <c r="D21" s="4" t="str">
        <v>Validated national recommendations linking policy, regulatory, and technical pathways for embedding biofortified crops into breeding pipelines</v>
      </c>
      <c r="E21" s="4" t="str">
        <v>Number of knowledge products</v>
      </c>
      <c r="F21" s="4" t="str">
        <v>United States of America, Nigeria, Kenya, Tanzania, United Republic, Ethiopia</v>
      </c>
      <c r="G21" s="5">
        <v>1</v>
      </c>
      <c r="H21" s="5">
        <v>38446</v>
      </c>
      <c r="I21" s="4" t="str">
        <v>Personnel costs based on standard organizational salary scales.</v>
      </c>
      <c r="J21" s="4">
        <v>8226</v>
      </c>
    </row>
    <row r="22" ht="50" customHeight="1">
      <c r="B22" s="4" t="str">
        <v>IITA</v>
      </c>
      <c r="D22" s="4" t="str">
        <v>Recommendations for pilot product profiles integrating nutrition traits</v>
      </c>
      <c r="E22" s="4" t="str">
        <v>Number of knowledge products</v>
      </c>
      <c r="F22" s="4" t="str">
        <v>United States of America, Nigeria, Tanzania, United Republic, Kenya, Ethiopia</v>
      </c>
      <c r="G22" s="5">
        <v>1</v>
      </c>
      <c r="H22" s="5">
        <v>38446</v>
      </c>
      <c r="I22" s="4" t="str">
        <v>Personnel costs based on standard organizational salary scales.</v>
      </c>
      <c r="J22" s="4">
        <v>8228</v>
      </c>
    </row>
    <row r="23" ht="25" customHeight="1">
      <c r="C23" s="9" t="str">
        <v>HLO budget subtotal</v>
      </c>
      <c r="H23" s="9">
        <v>949833</v>
      </c>
      <c r="J23" s="9" t="str">
        <v/>
      </c>
    </row>
  </sheetData>
  <mergeCells count="13">
    <mergeCell ref="A1:A2"/>
    <mergeCell ref="B1:B2"/>
    <mergeCell ref="C1:C2"/>
    <mergeCell ref="D1:H1"/>
    <mergeCell ref="I1:I2"/>
    <mergeCell ref="J1:J2"/>
    <mergeCell ref="C3:C7"/>
    <mergeCell ref="C8:C10"/>
    <mergeCell ref="C11:C17"/>
    <mergeCell ref="C18:C19"/>
    <mergeCell ref="C20:C22"/>
    <mergeCell ref="C23:G23"/>
    <mergeCell ref="A3:A23"/>
  </mergeCells>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AOW04: Biofortified and Health-enhancing Staples</v>
      </c>
      <c r="B2" s="4" t="str">
        <v>AKADEMIYA2063</v>
      </c>
      <c r="C2" s="4" t="str">
        <v>IITA</v>
      </c>
      <c r="D2" s="4" t="str">
        <v>Kenya, Uganda, Tanzania, United Republic, Ethiopia, Rwanda</v>
      </c>
      <c r="E2" s="5">
        <v>150000</v>
      </c>
      <c r="F2" s="4" t="str" xml:space="preserve">
        <v xml:space="preserve">Partner will host country meetings and side event at the Africa Food Systems Summit.
</v>
      </c>
      <c r="G2" s="4">
        <v>410</v>
      </c>
    </row>
    <row r="3" ht="50" customHeight="1">
      <c r="A3" s="4" t="str">
        <v>AOW04: Biofortified and Health-enhancing Staples</v>
      </c>
      <c r="B3" s="4" t="str">
        <v>The Grass Company</v>
      </c>
      <c r="C3" s="4" t="str">
        <v>IITA</v>
      </c>
      <c r="D3" s="4" t="str">
        <v>Kenya, Uganda, Tanzania, United Republic, Ethiopia, Rwanda</v>
      </c>
      <c r="E3" s="5">
        <v>150000</v>
      </c>
      <c r="F3" s="4" t="str">
        <v>Partner will conduct all consumer profiling work.</v>
      </c>
      <c r="G3" s="4">
        <v>411</v>
      </c>
    </row>
    <row r="4" ht="50" customHeight="1">
      <c r="A4" s="4" t="str">
        <v>AOW04: Biofortified and Health-enhancing Staples</v>
      </c>
      <c r="B4" s="4" t="str">
        <v>GeAgrofia</v>
      </c>
      <c r="C4" s="4" t="str">
        <v>IITA</v>
      </c>
      <c r="D4" s="4" t="str">
        <v>Nigeria</v>
      </c>
      <c r="E4" s="5">
        <v>68600</v>
      </c>
      <c r="F4" s="4" t="str">
        <v>Partner will support development of Atlas.</v>
      </c>
      <c r="G4" s="4">
        <v>420</v>
      </c>
    </row>
    <row r="5" ht="25" customHeight="1">
      <c r="B5" s="9" t="str">
        <v>Contracted partners subtotal</v>
      </c>
      <c r="E5" s="9">
        <v>368600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PJ-003938: Food Systems Resilience Program interventions in Feed Salone</v>
      </c>
      <c r="C2" s="4" t="str">
        <v>Consumers demand and consume sustainable healthy diets</v>
      </c>
      <c r="D2" s="5">
        <v>494432</v>
      </c>
      <c r="E2" s="4" t="str">
        <v>Budget subject to agreement of both parties on scope of work, deliverables to be delivered at a given period, estimation of costs, and manner of payment.</v>
      </c>
      <c r="F2" s="4">
        <v>1074</v>
      </c>
    </row>
    <row r="3" ht="60" customHeight="1">
      <c r="A3" s="4" t="str">
        <v>IITA</v>
      </c>
      <c r="B3" s="4" t="str">
        <v>PJ-003953: APPUI A LA TRANSFORMATION ET A LA RESILIENCE DES SYSTEMES ALIMENTAIRES DE MADAGASCAR A TRAVERS LA RECHERCHE POUR LE DEVELOPPEMENT</v>
      </c>
      <c r="C3" s="4" t="str">
        <v>Suite of solutions for producers and processors that address constraints to sustainable healthy diets co-developed, tested, and scaled with technical support and country engagement</v>
      </c>
      <c r="D3" s="5">
        <v>82721</v>
      </c>
      <c r="E3" s="4" t="str">
        <v>Budget subject to agreement of both parties on scope of work, deliverables to be delivered at a given period, estimation of costs, and manner of payment.</v>
      </c>
      <c r="F3" s="4">
        <v>1056</v>
      </c>
    </row>
    <row r="4" ht="60" customHeight="1">
      <c r="A4" s="4" t="str">
        <v>IITA</v>
      </c>
      <c r="B4" s="4" t="str">
        <v>PJ-003978: Cassava Source Sink (CASS) Phase III</v>
      </c>
      <c r="C4" s="4" t="str">
        <v>Framework for embedding nutrition into breeding pipelines and processes.</v>
      </c>
      <c r="D4" s="5">
        <v>56972</v>
      </c>
      <c r="E4" s="4" t="str">
        <v>Budget subject to agreement of both parties on scope of work, deliverables to be delivered at a given period, estimation of costs, and manner of payment.</v>
      </c>
      <c r="F4" s="4">
        <v>1063</v>
      </c>
    </row>
    <row r="5" ht="60" customHeight="1">
      <c r="A5" s="4" t="str">
        <v>IITA</v>
      </c>
      <c r="B5" s="4" t="str">
        <v>T-PJ-003517: Chicken, Fish and Pigs Feed and Organic Fertilizer Value Chain Development Using BSF-Based Urban Biowaste Processing in Ghana, Mali, Niger and the Democratic Republic of Congo</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5">
        <v>231903</v>
      </c>
      <c r="E5" s="4" t="str">
        <v>Budget subject to agreement of both parties on scope of work, deliverables to be delivered at a given period, estimation of costs, and manner of payment.</v>
      </c>
      <c r="F5" s="4">
        <v>1049</v>
      </c>
    </row>
    <row r="6" ht="60" customHeight="1">
      <c r="A6" s="4" t="str">
        <v>IITA</v>
      </c>
      <c r="B6" s="4" t="str">
        <v>T-PJ-003835-EU/IITA - FOOD SAFETY FOR AFRICA - ADDRESSING FO</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5">
        <v>552980</v>
      </c>
      <c r="E6" s="4" t="str">
        <v>Budget subject to agreement of both parties on scope of work, deliverables to be delivered at a given period, estimation of costs, and manner of payment.</v>
      </c>
      <c r="F6" s="4">
        <v>1047</v>
      </c>
    </row>
    <row r="7" ht="60" customHeight="1">
      <c r="A7" s="4" t="str">
        <v>IITA</v>
      </c>
      <c r="B7" s="4" t="str">
        <v>T-PJ-003911-CGIAR Genetic Innovations Public-Private Partnership Platform</v>
      </c>
      <c r="C7" s="4" t="str">
        <v>Framework for embedding nutrition into breeding pipelines and processes.</v>
      </c>
      <c r="D7" s="5">
        <v>120174</v>
      </c>
      <c r="E7" s="4" t="str">
        <v>Budget subject to agreement of both parties on scope of work, deliverables to be delivered at a given period, estimation of costs, and manner of payment.</v>
      </c>
      <c r="F7" s="4">
        <v>1064</v>
      </c>
    </row>
    <row r="8" ht="60" customHeight="1">
      <c r="A8" s="4" t="str">
        <v>IITA</v>
      </c>
      <c r="B8" s="4" t="str">
        <v>T-PJ-003948: Fair Food and Trade Systems for Africa through Food Convergence Innovation</v>
      </c>
      <c r="C8" s="4" t="str">
        <v>Suite of solutions focused on farm input dealers, food traders, processors, and/or retailers that promote food quality and safety, reduce food loss, improve efficiency, and/or facilitate intermediation developed and tested with technical support and country engagement</v>
      </c>
      <c r="D8" s="5">
        <v>633211</v>
      </c>
      <c r="E8" s="4" t="str">
        <v>Budget subject to agreement of both parties on scope of work, deliverables to be delivered at a given period, estimation of costs, and manner of payment.</v>
      </c>
      <c r="F8" s="4">
        <v>1048</v>
      </c>
    </row>
    <row r="9" ht="25" customHeight="1">
      <c r="B9" s="9" t="str">
        <v>W3/Bilateral budget subtotal</v>
      </c>
      <c r="D9" s="9">
        <v>2172393</v>
      </c>
      <c r="E9" s="9" t="str">
        <v/>
      </c>
      <c r="F9" s="9" t="str">
        <v/>
      </c>
    </row>
  </sheetData>
  <mergeCells count="2">
    <mergeCell ref="B9:C9"/>
    <mergeCell ref="A2: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H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IITA</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0</v>
      </c>
      <c r="G2" s="4" t="str">
        <v/>
      </c>
      <c r="H2" s="4">
        <v>682</v>
      </c>
    </row>
    <row r="3" ht="60" customHeight="1">
      <c r="A3" s="4" t="str">
        <v>AOW00: Cross Cutting</v>
      </c>
      <c r="B3" s="4" t="str">
        <v>IITA</v>
      </c>
      <c r="C3" s="4" t="str">
        <v>Strategic Coherence Across Geographies</v>
      </c>
      <c r="D3" s="4" t="str">
        <v>Producers and processors adopt and scale biofortified and health-enhancing crops</v>
      </c>
      <c r="E3" s="4" t="str">
        <v>N/A</v>
      </c>
      <c r="F3" s="5">
        <v>0</v>
      </c>
      <c r="G3" s="4" t="str">
        <v/>
      </c>
      <c r="H3" s="4">
        <v>712</v>
      </c>
    </row>
    <row r="4" ht="60" customHeight="1">
      <c r="A4" s="4" t="str">
        <v>AOW00: Cross Cutting</v>
      </c>
      <c r="B4" s="4" t="str">
        <v>IITA</v>
      </c>
      <c r="C4" s="4" t="str">
        <v>Internal Learning and Use of MELIA Results</v>
      </c>
      <c r="D4" s="4" t="str">
        <v>Consumers demand and consume sustainable healthy diets</v>
      </c>
      <c r="E4" s="4" t="str">
        <v>N/A</v>
      </c>
      <c r="F4" s="5">
        <v>0</v>
      </c>
      <c r="G4" s="4" t="str">
        <v/>
      </c>
      <c r="H4" s="4">
        <v>716</v>
      </c>
    </row>
    <row r="5" ht="25" customHeight="1">
      <c r="C5" s="9" t="str">
        <v>MELIA budget subtotal</v>
      </c>
      <c r="F5" s="9">
        <v>0</v>
      </c>
      <c r="G5" s="9" t="str">
        <v/>
      </c>
      <c r="H5" s="9" t="str">
        <v/>
      </c>
    </row>
    <row r="6" ht="60" customHeight="1">
      <c r="A6" s="8" t="str">
        <v>AOW01: Consumers and Food Environments</v>
      </c>
      <c r="B6" s="4" t="str">
        <v>IITA</v>
      </c>
      <c r="C6" s="4" t="str">
        <v xml:space="preserve">Actor Engagement and Assumption Validation </v>
      </c>
      <c r="D6"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6" s="4" t="str">
        <v>N/A</v>
      </c>
      <c r="F6" s="5">
        <v>0</v>
      </c>
      <c r="G6" s="4" t="str">
        <v/>
      </c>
      <c r="H6" s="4">
        <v>672</v>
      </c>
    </row>
    <row r="7" ht="60" customHeight="1">
      <c r="A7" s="4" t="str">
        <v>AOW01: Consumers and Food Environments</v>
      </c>
      <c r="B7" s="4" t="str">
        <v>IITA</v>
      </c>
      <c r="C7" s="4" t="str">
        <v>Strategic Coherence Across Geographies</v>
      </c>
      <c r="D7" s="4" t="str">
        <v>Producers and processors adopt and scale biofortified and health-enhancing crops</v>
      </c>
      <c r="E7" s="4" t="str">
        <v>N/A</v>
      </c>
      <c r="F7" s="5">
        <v>0</v>
      </c>
      <c r="G7" s="4" t="str">
        <v/>
      </c>
      <c r="H7" s="4">
        <v>706</v>
      </c>
    </row>
    <row r="8" ht="25" customHeight="1">
      <c r="C8" s="9" t="str">
        <v>MELIA budget subtotal</v>
      </c>
      <c r="F8" s="9">
        <v>0</v>
      </c>
      <c r="G8" s="9" t="str">
        <v/>
      </c>
      <c r="H8" s="9" t="str">
        <v/>
      </c>
    </row>
    <row r="9" ht="60" customHeight="1">
      <c r="A9" s="8" t="str">
        <v>AOW02: Market Systems</v>
      </c>
      <c r="B9" s="4" t="str">
        <v>IITA</v>
      </c>
      <c r="C9" s="4" t="str">
        <v xml:space="preserve">Actor Engagement and Assumption Validation </v>
      </c>
      <c r="D9"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9" s="4" t="str">
        <v>N/A</v>
      </c>
      <c r="F9" s="5">
        <v>0</v>
      </c>
      <c r="G9" s="4" t="str">
        <v/>
      </c>
      <c r="H9" s="4">
        <v>677</v>
      </c>
    </row>
    <row r="10" ht="60" customHeight="1">
      <c r="A10" s="4" t="str">
        <v>AOW02: Market Systems</v>
      </c>
      <c r="B10" s="4" t="str">
        <v>IITA</v>
      </c>
      <c r="C10" s="4" t="str">
        <v>Strategic Coherence Across Geographies</v>
      </c>
      <c r="D10" s="4" t="str">
        <v>Producers and processors adopt and scale biofortified and health-enhancing crops</v>
      </c>
      <c r="E10" s="4" t="str">
        <v>N/A</v>
      </c>
      <c r="F10" s="5">
        <v>0</v>
      </c>
      <c r="G10" s="4" t="str">
        <v/>
      </c>
      <c r="H10" s="4">
        <v>709</v>
      </c>
    </row>
    <row r="11" ht="25" customHeight="1">
      <c r="C11" s="9" t="str">
        <v>MELIA budget subtotal</v>
      </c>
      <c r="F11" s="9">
        <v>0</v>
      </c>
      <c r="G11" s="9" t="str">
        <v/>
      </c>
      <c r="H11" s="9" t="str">
        <v/>
      </c>
    </row>
    <row r="12" ht="60" customHeight="1">
      <c r="A12" s="8" t="str">
        <v>AOW03: End-to-end Solutions</v>
      </c>
      <c r="B12" s="4" t="str">
        <v>IITA</v>
      </c>
      <c r="C12" s="4" t="str">
        <v xml:space="preserve">Actor Engagement and Assumption Validation </v>
      </c>
      <c r="D1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2" s="4" t="str">
        <v>N/A</v>
      </c>
      <c r="F12" s="5">
        <v>0</v>
      </c>
      <c r="G12" s="4" t="str">
        <v/>
      </c>
      <c r="H12" s="4">
        <v>667</v>
      </c>
    </row>
    <row r="13" ht="60" customHeight="1">
      <c r="A13" s="4" t="str">
        <v>AOW03: End-to-end Solutions</v>
      </c>
      <c r="B13" s="4" t="str">
        <v>IITA</v>
      </c>
      <c r="C13" s="4" t="str">
        <v>Strategic Coherence Across Geographies</v>
      </c>
      <c r="D13" s="4" t="str">
        <v>Producers and processors adopt and scale biofortified and health-enhancing crops</v>
      </c>
      <c r="E13" s="4" t="str">
        <v>N/A</v>
      </c>
      <c r="F13" s="5">
        <v>0</v>
      </c>
      <c r="G13" s="4" t="str">
        <v/>
      </c>
      <c r="H13" s="4">
        <v>703</v>
      </c>
    </row>
    <row r="14" ht="25" customHeight="1">
      <c r="C14" s="9" t="str">
        <v>MELIA budget subtotal</v>
      </c>
      <c r="F14" s="9">
        <v>0</v>
      </c>
      <c r="G14" s="9" t="str">
        <v/>
      </c>
      <c r="H14" s="9" t="str">
        <v/>
      </c>
    </row>
    <row r="15" ht="60" customHeight="1">
      <c r="A15" s="8" t="str">
        <v>AOW04: Biofortified and Health-enhancing Staples</v>
      </c>
      <c r="B15" s="4" t="str">
        <v>IITA</v>
      </c>
      <c r="C15" s="4" t="str">
        <v xml:space="preserve">Actor Engagement and Assumption Validation </v>
      </c>
      <c r="D1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5" s="4" t="str">
        <v>N/A</v>
      </c>
      <c r="F15" s="5">
        <v>0</v>
      </c>
      <c r="G15" s="4" t="str">
        <v/>
      </c>
      <c r="H15" s="4">
        <v>662</v>
      </c>
    </row>
    <row r="16" ht="60" customHeight="1">
      <c r="A16" s="4" t="str">
        <v>AOW04: Biofortified and Health-enhancing Staples</v>
      </c>
      <c r="B16" s="4" t="str">
        <v>IITA</v>
      </c>
      <c r="C16" s="4" t="str">
        <v>Strategic Coherence Across Geographies</v>
      </c>
      <c r="D16" s="4" t="str">
        <v>Producers and processors adopt and scale biofortified and health-enhancing crops</v>
      </c>
      <c r="E16" s="4" t="str">
        <v>N/A</v>
      </c>
      <c r="F16" s="5">
        <v>0</v>
      </c>
      <c r="G16" s="4" t="str">
        <v/>
      </c>
      <c r="H16" s="4">
        <v>700</v>
      </c>
    </row>
    <row r="17" ht="25" customHeight="1">
      <c r="C17" s="9" t="str">
        <v>MELIA budget subtotal</v>
      </c>
      <c r="F17" s="9">
        <v>0</v>
      </c>
      <c r="G17" s="9" t="str">
        <v/>
      </c>
      <c r="H17" s="9" t="str">
        <v/>
      </c>
    </row>
    <row r="18" ht="60" customHeight="1">
      <c r="A18" s="8" t="str">
        <v>AOW05: Multisectoral systems</v>
      </c>
      <c r="B18" s="4" t="str">
        <v>IITA</v>
      </c>
      <c r="C18" s="4" t="str">
        <v xml:space="preserve">Actor Engagement and Assumption Validation </v>
      </c>
      <c r="D18"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8" s="4" t="str">
        <v>N/A</v>
      </c>
      <c r="F18" s="5">
        <v>0</v>
      </c>
      <c r="G18" s="4" t="str">
        <v/>
      </c>
      <c r="H18" s="4">
        <v>657</v>
      </c>
    </row>
    <row r="19" ht="25" customHeight="1">
      <c r="C19" s="9" t="str">
        <v>MELIA budget subtotal</v>
      </c>
      <c r="F19" s="9">
        <v>0</v>
      </c>
      <c r="G19" s="9" t="str">
        <v/>
      </c>
      <c r="H19" s="9" t="str">
        <v/>
      </c>
    </row>
    <row r="20" ht="60" customHeight="1">
      <c r="A20" s="8" t="str">
        <v>AOW06: Transformative leadership</v>
      </c>
      <c r="B20" s="4" t="str">
        <v>IITA</v>
      </c>
      <c r="C20" s="4" t="str">
        <v xml:space="preserve">Actor Engagement and Assumption Validation </v>
      </c>
      <c r="D20"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0" s="4" t="str">
        <v>N/A</v>
      </c>
      <c r="F20" s="5">
        <v>0</v>
      </c>
      <c r="G20" s="4" t="str">
        <v/>
      </c>
      <c r="H20" s="4">
        <v>652</v>
      </c>
    </row>
    <row r="21" ht="25" customHeight="1">
      <c r="C21" s="9" t="str">
        <v>MELIA budget subtotal</v>
      </c>
      <c r="F21" s="9">
        <v>0</v>
      </c>
      <c r="G21" s="9" t="str">
        <v/>
      </c>
      <c r="H21" s="9" t="str">
        <v/>
      </c>
    </row>
  </sheetData>
  <mergeCells count="14">
    <mergeCell ref="C5:E5"/>
    <mergeCell ref="A2:A5"/>
    <mergeCell ref="C8:E8"/>
    <mergeCell ref="A6:A8"/>
    <mergeCell ref="C11:E11"/>
    <mergeCell ref="A9:A11"/>
    <mergeCell ref="C14:E14"/>
    <mergeCell ref="A12:A14"/>
    <mergeCell ref="C17:E17"/>
    <mergeCell ref="A15:A17"/>
    <mergeCell ref="C19:E19"/>
    <mergeCell ref="A18:A19"/>
    <mergeCell ref="C21:E21"/>
    <mergeCell ref="A20:A21"/>
  </mergeCells>
  <ignoredErrors>
    <ignoredError numberStoredAsText="1" sqref="A1:H2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IITA</v>
      </c>
      <c r="C2" s="4" t="str">
        <v>Area of Work Leads</v>
      </c>
      <c r="D2" s="5">
        <v>69394</v>
      </c>
      <c r="E2" s="4" t="str">
        <v>The AoW4 Lead served at 0.2 FTE during January–February and shifted to 0.4 FTE from March through December.</v>
      </c>
      <c r="F2" s="4">
        <v>26</v>
      </c>
      <c r="G2" s="4">
        <v>3</v>
      </c>
    </row>
    <row r="3" ht="45" customHeight="1" xml:space="preserve">
      <c r="A3" s="4" t="str">
        <v>AOW00: Cross Cutting</v>
      </c>
      <c r="B3" s="4" t="str">
        <v>IITA</v>
      </c>
      <c r="C3" s="4" t="str">
        <v>Discretionary funds</v>
      </c>
      <c r="D3" s="5">
        <v>25000</v>
      </c>
      <c r="E3" s="4" t="str" xml:space="preserve">
        <v xml:space="preserve">This funding supports the Biofortification Coordination Committee, with the assumption that coordination activities will proceed as planned and remain on track.
</v>
      </c>
      <c r="F3" s="4">
        <v>64</v>
      </c>
      <c r="G3" s="4">
        <v>7</v>
      </c>
    </row>
    <row r="4" ht="25" customHeight="1">
      <c r="C4" s="9" t="str">
        <v>Cross-cutting budget subtotal</v>
      </c>
      <c r="D4" s="9">
        <v>94394</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79394</v>
      </c>
      <c r="C2" s="5">
        <v>0</v>
      </c>
      <c r="D2" s="5">
        <v>0</v>
      </c>
      <c r="E2" s="5">
        <v>0</v>
      </c>
      <c r="F2" s="5">
        <v>297527</v>
      </c>
      <c r="G2" s="5">
        <v>0</v>
      </c>
      <c r="H2" s="5">
        <v>0</v>
      </c>
      <c r="I2" s="5">
        <f>=SUM(B2:H2)</f>
        <v>0</v>
      </c>
    </row>
    <row r="3" ht="20" customHeight="1">
      <c r="A3" s="4" t="str">
        <v>Operations (supplies, consultants, travels, workshops, other)</v>
      </c>
      <c r="B3" s="5">
        <v>15000</v>
      </c>
      <c r="C3" s="5">
        <v>0</v>
      </c>
      <c r="D3" s="5">
        <v>0</v>
      </c>
      <c r="E3" s="5">
        <v>0</v>
      </c>
      <c r="F3" s="5">
        <v>283706</v>
      </c>
      <c r="G3" s="5">
        <v>0</v>
      </c>
      <c r="H3" s="5">
        <v>0</v>
      </c>
      <c r="I3" s="5">
        <f>=SUM(B3:H3)</f>
        <v>0</v>
      </c>
    </row>
    <row r="4" ht="20" customHeight="1">
      <c r="A4" s="4" t="str">
        <v>Collaborators non-CGIAR centers</v>
      </c>
      <c r="B4" s="5">
        <v>0</v>
      </c>
      <c r="C4" s="5">
        <v>0</v>
      </c>
      <c r="D4" s="5">
        <v>0</v>
      </c>
      <c r="E4" s="5">
        <v>0</v>
      </c>
      <c r="F4" s="5">
        <v>368600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Nigeria</v>
      </c>
      <c r="D2" s="5">
        <v>100</v>
      </c>
      <c r="E2" s="4">
        <v>3340</v>
      </c>
    </row>
    <row r="3" ht="45" customHeight="1">
      <c r="A3" s="8" t="str">
        <v>AOW04: Biofortified and Health-enhancing Staples</v>
      </c>
      <c r="B3" s="4" t="str">
        <v>IITA</v>
      </c>
      <c r="C3" s="4" t="str">
        <v>Ethiopia</v>
      </c>
      <c r="D3" s="5">
        <v>0</v>
      </c>
      <c r="E3" s="4">
        <v>2366</v>
      </c>
    </row>
    <row r="4" ht="45" customHeight="1">
      <c r="A4" s="4" t="str">
        <v>AOW04: Biofortified and Health-enhancing Staples</v>
      </c>
      <c r="B4" s="4" t="str">
        <v>IITA</v>
      </c>
      <c r="C4" s="4" t="str">
        <v>Kenya</v>
      </c>
      <c r="D4" s="5">
        <v>0</v>
      </c>
      <c r="E4" s="4">
        <v>2365</v>
      </c>
    </row>
    <row r="5" ht="45" customHeight="1">
      <c r="A5" s="4" t="str">
        <v>AOW04: Biofortified and Health-enhancing Staples</v>
      </c>
      <c r="B5" s="4" t="str">
        <v>IITA</v>
      </c>
      <c r="C5" s="4" t="str">
        <v>Nigeria</v>
      </c>
      <c r="D5" s="5">
        <v>100</v>
      </c>
      <c r="E5" s="4">
        <v>2363</v>
      </c>
    </row>
    <row r="6" ht="45" customHeight="1">
      <c r="A6" s="4" t="str">
        <v>AOW04: Biofortified and Health-enhancing Staples</v>
      </c>
      <c r="B6" s="4" t="str">
        <v>IITA</v>
      </c>
      <c r="C6" s="4" t="str">
        <v>Tanzania</v>
      </c>
      <c r="D6" s="5">
        <v>0</v>
      </c>
      <c r="E6" s="4">
        <v>2364</v>
      </c>
    </row>
  </sheetData>
  <mergeCells count="2">
    <mergeCell ref="A2"/>
    <mergeCell ref="A3: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1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Bangladesh</v>
      </c>
      <c r="D2" s="4" t="str">
        <v>country</v>
      </c>
      <c r="E2" s="5">
        <v>16.67</v>
      </c>
      <c r="F2" s="4">
        <v>1554</v>
      </c>
    </row>
    <row r="3" ht="45" customHeight="1">
      <c r="A3" s="4" t="str">
        <v>AOW00: Cross Cutting</v>
      </c>
      <c r="B3" s="4" t="str">
        <v>IITA</v>
      </c>
      <c r="C3" s="4" t="str">
        <v>Ethiopia</v>
      </c>
      <c r="D3" s="4" t="str">
        <v>country</v>
      </c>
      <c r="E3" s="5">
        <v>16.67</v>
      </c>
      <c r="F3" s="4">
        <v>1555</v>
      </c>
    </row>
    <row r="4" ht="45" customHeight="1">
      <c r="A4" s="4" t="str">
        <v>AOW00: Cross Cutting</v>
      </c>
      <c r="B4" s="4" t="str">
        <v>IITA</v>
      </c>
      <c r="C4" s="4" t="str">
        <v>Honduras</v>
      </c>
      <c r="D4" s="4" t="str">
        <v>country</v>
      </c>
      <c r="E4" s="5">
        <v>16.67</v>
      </c>
      <c r="F4" s="4">
        <v>1556</v>
      </c>
    </row>
    <row r="5" ht="45" customHeight="1">
      <c r="A5" s="4" t="str">
        <v>AOW00: Cross Cutting</v>
      </c>
      <c r="B5" s="4" t="str">
        <v>IITA</v>
      </c>
      <c r="C5" s="4" t="str">
        <v>Kenya</v>
      </c>
      <c r="D5" s="4" t="str">
        <v>country</v>
      </c>
      <c r="E5" s="5">
        <v>0</v>
      </c>
      <c r="F5" s="4">
        <v>1557</v>
      </c>
    </row>
    <row r="6" ht="45" customHeight="1">
      <c r="A6" s="4" t="str">
        <v>AOW00: Cross Cutting</v>
      </c>
      <c r="B6" s="4" t="str">
        <v>IITA</v>
      </c>
      <c r="C6" s="4" t="str">
        <v>Philippines</v>
      </c>
      <c r="D6" s="4" t="str">
        <v>country</v>
      </c>
      <c r="E6" s="5">
        <v>16.66</v>
      </c>
      <c r="F6" s="4">
        <v>1558</v>
      </c>
    </row>
    <row r="7" ht="45" customHeight="1">
      <c r="A7" s="4" t="str">
        <v>AOW00: Cross Cutting</v>
      </c>
      <c r="B7" s="4" t="str">
        <v>IITA</v>
      </c>
      <c r="C7" s="4" t="str">
        <v>Tanzania</v>
      </c>
      <c r="D7" s="4" t="str">
        <v>country</v>
      </c>
      <c r="E7" s="5">
        <v>16.67</v>
      </c>
      <c r="F7" s="4">
        <v>1560</v>
      </c>
    </row>
    <row r="8" ht="45" customHeight="1">
      <c r="A8" s="4" t="str">
        <v>AOW00: Cross Cutting</v>
      </c>
      <c r="B8" s="4" t="str">
        <v>IITA</v>
      </c>
      <c r="C8" s="4" t="str">
        <v>The Socialist Republic of Viet Nam</v>
      </c>
      <c r="D8" s="4" t="str">
        <v>country</v>
      </c>
      <c r="E8" s="5">
        <v>16.66</v>
      </c>
      <c r="F8" s="4">
        <v>1559</v>
      </c>
    </row>
    <row r="9" ht="45" customHeight="1">
      <c r="A9" s="8" t="str">
        <v>AOW04: Biofortified and Health-enhancing Staples</v>
      </c>
      <c r="B9" s="4" t="str">
        <v>IITA</v>
      </c>
      <c r="C9" s="4" t="str">
        <v>Global</v>
      </c>
      <c r="D9" s="4" t="str">
        <v>global</v>
      </c>
      <c r="E9" s="5">
        <v>10</v>
      </c>
      <c r="F9" s="4">
        <v>824</v>
      </c>
    </row>
    <row r="10" ht="45" customHeight="1">
      <c r="A10" s="4" t="str">
        <v>AOW04: Biofortified and Health-enhancing Staples</v>
      </c>
      <c r="B10" s="4" t="str">
        <v>IITA</v>
      </c>
      <c r="C10" s="4" t="str">
        <v>Ethiopia</v>
      </c>
      <c r="D10" s="4" t="str">
        <v>country</v>
      </c>
      <c r="E10" s="5">
        <v>10</v>
      </c>
      <c r="F10" s="4">
        <v>825</v>
      </c>
    </row>
    <row r="11" ht="45" customHeight="1">
      <c r="A11" s="4" t="str">
        <v>AOW04: Biofortified and Health-enhancing Staples</v>
      </c>
      <c r="B11" s="4" t="str">
        <v>IITA</v>
      </c>
      <c r="C11" s="4" t="str">
        <v>India</v>
      </c>
      <c r="D11" s="4" t="str">
        <v>country</v>
      </c>
      <c r="E11" s="5">
        <v>10</v>
      </c>
      <c r="F11" s="4">
        <v>826</v>
      </c>
    </row>
    <row r="12" ht="45" customHeight="1">
      <c r="A12" s="4" t="str">
        <v>AOW04: Biofortified and Health-enhancing Staples</v>
      </c>
      <c r="B12" s="4" t="str">
        <v>IITA</v>
      </c>
      <c r="C12" s="4" t="str">
        <v>Kenya</v>
      </c>
      <c r="D12" s="4" t="str">
        <v>country</v>
      </c>
      <c r="E12" s="5">
        <v>10</v>
      </c>
      <c r="F12" s="4">
        <v>830</v>
      </c>
    </row>
    <row r="13" ht="45" customHeight="1">
      <c r="A13" s="4" t="str">
        <v>AOW04: Biofortified and Health-enhancing Staples</v>
      </c>
      <c r="B13" s="4" t="str">
        <v>IITA</v>
      </c>
      <c r="C13" s="4" t="str">
        <v>Malawi</v>
      </c>
      <c r="D13" s="4" t="str">
        <v>country</v>
      </c>
      <c r="E13" s="5">
        <v>0</v>
      </c>
      <c r="F13" s="4">
        <v>829</v>
      </c>
    </row>
    <row r="14" ht="45" customHeight="1">
      <c r="A14" s="4" t="str">
        <v>AOW04: Biofortified and Health-enhancing Staples</v>
      </c>
      <c r="B14" s="4" t="str">
        <v>IITA</v>
      </c>
      <c r="C14" s="4" t="str">
        <v>Nigeria</v>
      </c>
      <c r="D14" s="4" t="str">
        <v>country</v>
      </c>
      <c r="E14" s="5">
        <v>30</v>
      </c>
      <c r="F14" s="4">
        <v>828</v>
      </c>
    </row>
    <row r="15" ht="45" customHeight="1">
      <c r="A15" s="4" t="str">
        <v>AOW04: Biofortified and Health-enhancing Staples</v>
      </c>
      <c r="B15" s="4" t="str">
        <v>IITA</v>
      </c>
      <c r="C15" s="4" t="str">
        <v>Philippines</v>
      </c>
      <c r="D15" s="4" t="str">
        <v>country</v>
      </c>
      <c r="E15" s="5">
        <v>0</v>
      </c>
      <c r="F15" s="4">
        <v>827</v>
      </c>
    </row>
    <row r="16" ht="45" customHeight="1">
      <c r="A16" s="4" t="str">
        <v>AOW04: Biofortified and Health-enhancing Staples</v>
      </c>
      <c r="B16" s="4" t="str">
        <v>IITA</v>
      </c>
      <c r="C16" s="4" t="str">
        <v>Tanzania, United Republic</v>
      </c>
      <c r="D16" s="4" t="str">
        <v>country</v>
      </c>
      <c r="E16" s="5">
        <v>30</v>
      </c>
      <c r="F16" s="4">
        <v>966</v>
      </c>
    </row>
  </sheetData>
  <mergeCells count="2">
    <mergeCell ref="A2:A8"/>
    <mergeCell ref="A9:A16"/>
  </mergeCells>
  <ignoredErrors>
    <ignoredError numberStoredAsText="1" sqref="A1:F16"/>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