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162623</v>
      </c>
      <c r="K4" s="5">
        <v>162623</v>
      </c>
      <c r="L4" s="5">
        <v>0</v>
      </c>
      <c r="M4" s="5">
        <v>0</v>
      </c>
      <c r="N4" s="4">
        <v>206</v>
      </c>
    </row>
    <row r="5" ht="20" customHeight="1">
      <c r="A5" s="4" t="str">
        <v>AOW01: Engage and Empower</v>
      </c>
      <c r="B5" s="5">
        <v>3</v>
      </c>
      <c r="C5" s="5">
        <v>426092</v>
      </c>
      <c r="D5" s="5">
        <v>11</v>
      </c>
      <c r="E5" s="5">
        <v>320000</v>
      </c>
      <c r="F5" s="5">
        <v>8</v>
      </c>
      <c r="G5" s="5">
        <v>127054</v>
      </c>
      <c r="H5" s="5">
        <v>0</v>
      </c>
      <c r="I5" s="5">
        <v>0</v>
      </c>
      <c r="J5" s="5">
        <v>873146</v>
      </c>
      <c r="K5" s="5">
        <v>873146</v>
      </c>
      <c r="L5" s="5">
        <v>55098</v>
      </c>
      <c r="M5" s="5">
        <v>0</v>
      </c>
      <c r="N5" s="4">
        <v>205</v>
      </c>
    </row>
    <row r="6" ht="20" customHeight="1">
      <c r="A6" s="4" t="str">
        <v>AOW02: Grand Challenges and Scaling Flagships</v>
      </c>
      <c r="B6" s="5">
        <v>10</v>
      </c>
      <c r="C6" s="5">
        <v>127399</v>
      </c>
      <c r="D6" s="5">
        <v>11</v>
      </c>
      <c r="E6" s="5">
        <v>172182</v>
      </c>
      <c r="F6" s="5">
        <v>19508</v>
      </c>
      <c r="G6" s="5">
        <v>156973</v>
      </c>
      <c r="H6" s="5">
        <v>201</v>
      </c>
      <c r="I6" s="5">
        <v>55505</v>
      </c>
      <c r="J6" s="5">
        <v>512059</v>
      </c>
      <c r="K6" s="5">
        <v>512059</v>
      </c>
      <c r="L6" s="5">
        <v>48500</v>
      </c>
      <c r="M6" s="5">
        <v>0</v>
      </c>
      <c r="N6" s="4">
        <v>201</v>
      </c>
    </row>
    <row r="7" ht="20" customHeight="1">
      <c r="A7" s="4" t="str">
        <v>AOW03: Enabling Environment Lab</v>
      </c>
      <c r="B7" s="5">
        <v>2</v>
      </c>
      <c r="C7" s="5">
        <v>50000</v>
      </c>
      <c r="D7" s="5">
        <v>16</v>
      </c>
      <c r="E7" s="5">
        <v>791118</v>
      </c>
      <c r="F7" s="5">
        <v>8780</v>
      </c>
      <c r="G7" s="5">
        <v>569508</v>
      </c>
      <c r="H7" s="5">
        <v>7</v>
      </c>
      <c r="I7" s="5">
        <v>124517</v>
      </c>
      <c r="J7" s="5">
        <v>1535143</v>
      </c>
      <c r="K7" s="5">
        <v>1535143</v>
      </c>
      <c r="L7" s="5">
        <v>366000</v>
      </c>
      <c r="M7" s="5">
        <v>0</v>
      </c>
      <c r="N7" s="4">
        <v>203</v>
      </c>
    </row>
    <row r="8" ht="20" customHeight="1">
      <c r="A8" s="4" t="str">
        <v>AOW04: Achieving Impact by Unlocking Finance and Partnerships</v>
      </c>
      <c r="B8" s="5">
        <v>7</v>
      </c>
      <c r="C8" s="5">
        <v>114129</v>
      </c>
      <c r="D8" s="5">
        <v>9</v>
      </c>
      <c r="E8" s="5">
        <v>144129</v>
      </c>
      <c r="F8" s="5">
        <v>0</v>
      </c>
      <c r="G8" s="5">
        <v>0</v>
      </c>
      <c r="H8" s="5">
        <v>0</v>
      </c>
      <c r="I8" s="5">
        <v>0</v>
      </c>
      <c r="J8" s="5">
        <v>258258</v>
      </c>
      <c r="K8" s="5">
        <v>258258</v>
      </c>
      <c r="L8" s="5">
        <v>10009</v>
      </c>
      <c r="M8" s="5">
        <v>0</v>
      </c>
      <c r="N8" s="4">
        <v>202</v>
      </c>
    </row>
    <row r="9" ht="20" customHeight="1">
      <c r="A9" s="4" t="str">
        <v>AOW05: Learning for Impact</v>
      </c>
      <c r="B9" s="5">
        <v>2</v>
      </c>
      <c r="C9" s="5">
        <v>38000</v>
      </c>
      <c r="D9" s="5">
        <v>2</v>
      </c>
      <c r="E9" s="5">
        <v>15000</v>
      </c>
      <c r="F9" s="5">
        <v>415</v>
      </c>
      <c r="G9" s="5">
        <v>108000</v>
      </c>
      <c r="H9" s="5">
        <v>5</v>
      </c>
      <c r="I9" s="5">
        <v>25000</v>
      </c>
      <c r="J9" s="5">
        <v>186000</v>
      </c>
      <c r="K9" s="5">
        <v>186000</v>
      </c>
      <c r="L9" s="5">
        <v>0</v>
      </c>
      <c r="M9" s="5">
        <v>34844</v>
      </c>
      <c r="N9" s="4">
        <v>204</v>
      </c>
    </row>
    <row r="10" ht="25" customHeight="1">
      <c r="A10" s="6" t="str">
        <v>Total</v>
      </c>
      <c r="B10" s="7" t="str">
        <v/>
      </c>
      <c r="C10" s="7">
        <v>755620</v>
      </c>
      <c r="D10" s="7" t="str">
        <v/>
      </c>
      <c r="E10" s="7">
        <v>1442429</v>
      </c>
      <c r="F10" s="7" t="str">
        <v/>
      </c>
      <c r="G10" s="7">
        <v>961535</v>
      </c>
      <c r="H10" s="7" t="str">
        <v/>
      </c>
      <c r="I10" s="7">
        <v>205022</v>
      </c>
      <c r="J10" s="7">
        <v>3527229</v>
      </c>
      <c r="K10" s="7">
        <v>3527229</v>
      </c>
      <c r="L10" s="7">
        <v>479607</v>
      </c>
      <c r="M10" s="7">
        <v>34844</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6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Engage and Empower</v>
      </c>
      <c r="B3" s="4" t="str">
        <v>IWMI</v>
      </c>
      <c r="C3" s="4" t="str">
        <v>HLO 1.1.2: Data and guidance for adaptive management</v>
      </c>
      <c r="D3" s="4" t="str">
        <v>A1P12.2: PoD name: Adaptive Management – Success and Failure Story Series. Lead Center: IWMI. PoD KPI:  One an annual global learning brief with results synthesized  and showcased through the P&amp;R Hub to inform portfolio-wide learning and planning by engaging eight CGIAR Programs or Accelerators that actively using and documenting adaptive management practices by the end of 2026, . Suggested Disaggregation: Not applicable; the unit of measurement is number of CGIAR programs or accelerators, not individuals. Indicator type: Knowledge Product. Unit: Number of Report . PoD Description: This package develops, curates, and disseminates a series of adaptive management case stories across CGIAR Programs and Accelerators. By capturing real-time experiences from initiatives in Bangladesh, Kenya, Nigeria, Ethiopia, India, Colombia, and Latin America, and synthesizing them into an annual global learning brief, the work will strengthen a culture of transparency, shared learning, and evidence-informed decision-making across the CGIAR portfolio.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v>
      </c>
      <c r="E3" s="4" t="str">
        <v>Number of knowledge products</v>
      </c>
      <c r="F3" s="4" t="str">
        <v>Colombia, Kenya, Nepal, Ethiopia, India</v>
      </c>
      <c r="G3" s="5">
        <v>1</v>
      </c>
      <c r="H3" s="5">
        <v>50000</v>
      </c>
      <c r="I3" s="4" t="str">
        <v xml:space="preserve">One annual global learning brief with results synthesized and showcased through the P&amp;R Hub to inform portfolio-wide learning and planning by engaging eight CGIAR Programs or Accelerators that actively using and documenting adaptive management practices by the end of 2026, </v>
      </c>
      <c r="J3" s="4">
        <v>5880</v>
      </c>
    </row>
    <row r="4" ht="50" customHeight="1" xml:space="preserve">
      <c r="B4" s="4" t="str">
        <v>IWMI</v>
      </c>
      <c r="D4" s="4" t="str" xml:space="preserve">
        <v xml:space="preserve">A1P12.1: PoD name: Adaptive Management – Pause and Reflect (P&amp;R) Workshops. Lead Center: IWMI. PoD KPI: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Indicator type: Capacity Sharing, Unit of measurement: Number of CGIAR programs or accelerators 
PoD Description: In 2026, this PoD will support the institutionalization of adaptive management across CGIAR by organizing structured Adapt workshops to integrate S4I tools in CGIAR Programs, Accelerators, and bilateral projects to systematically review evidence, identify bottlenecks, and recalibrate priorities in response to partner demand, the enabling environment, and their innovation portfolio. Building on emerging practice in Bangladesh, Nigeria, and Ethiopia, the work will facilitate learning sessions in up to fivekey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v>
      </c>
      <c r="E4" s="4" t="str">
        <v>Number of people trained (capacity sharing for development)</v>
      </c>
      <c r="F4" s="4" t="str">
        <v>Nigeria, Bangladesh, Kenya, India, Ethiopia</v>
      </c>
      <c r="G4" s="5">
        <v>5</v>
      </c>
      <c r="H4" s="5">
        <v>60000</v>
      </c>
      <c r="I4" s="4" t="str">
        <v xml:space="preserve">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v>
      </c>
      <c r="J4" s="4">
        <v>5881</v>
      </c>
    </row>
    <row r="5" ht="50" customHeight="1">
      <c r="A5" s="4" t="str">
        <v>AOW01: Engage and Empower</v>
      </c>
      <c r="B5" s="4" t="str">
        <v>IWMI</v>
      </c>
      <c r="C5" s="4" t="str">
        <v>HLO 1.1.3: Strategies for research and scaling prioritization</v>
      </c>
      <c r="D5" s="4" t="str">
        <v>A1P19.2: PoD name: CGIAR Country Strategy and Coordination. Lead Center: IWMI. PoD KPI: 1 – One CGIAR Annual Report finalized and launched in 2026, detailing the status of the implementation of the country portfolio and the Country Strategic Framework (CSF), synthesizing insights from adaptive management for accountability and alignment with country priorities. Suggested Disaggregation: Not applicable for this report-level KPI. Indicator type: Knowledge Product. Unit: Number of reports. PoD Description: This package will strengthen CGIAR’s country-level coordination and strategic alignment by co-designing and implementing comprehensive CGIAR Country Strategic Frameworks and reinforcing country convening functions.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v>
      </c>
      <c r="E5" s="4" t="str">
        <v>Number of knowledge products</v>
      </c>
      <c r="F5" s="4" t="str">
        <v>Nepal</v>
      </c>
      <c r="G5" s="5">
        <v>1</v>
      </c>
      <c r="H5" s="5">
        <v>30000</v>
      </c>
      <c r="I5" s="4" t="str">
        <v xml:space="preserve"> 1 – One CGIAR Annual Report finalized and launched in 2026, detailing the status of the implementation of the country portfolio and the Country Strategic Framework (CSF), synthesizing insights from adaptive management for accountability and alignment with country priorities. </v>
      </c>
      <c r="J5" s="4">
        <v>5883</v>
      </c>
    </row>
    <row r="6" ht="50" customHeight="1">
      <c r="B6" s="4" t="str">
        <v>IWMI</v>
      </c>
      <c r="D6" s="4" t="str">
        <v>A1P19.1: PoD name: CGIAR Country Strategy and Coordination. Lead Center: IWMI. PoD KPI: 1 – One CGIAR Country Strategic Framework for Nepal finalized and launched in 2026, co-developed with national partners and CGIAR Centers to facilitate cross-program collaboration, adaptive management, and portfolio alignment. Suggested Disaggregation: Not applicable for this strategy-level KPI. Indicator type: Knowledge Product. Unit: Number of strategies. PoD Description: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Responsible Centers: IWMI (lead) with IITA. MELIA: Monitoring, evaluation, and learning plans will be developed in early 2026 in cooperation with the S4I PMU and/or AoW‑5, and where needed will include baseline assessments and indicator tracking and reporting in line with Program and CGIAR guidelines.</v>
      </c>
      <c r="E6" s="4" t="str">
        <v>Number of knowledge products</v>
      </c>
      <c r="F6" s="4" t="str">
        <v>Nepal</v>
      </c>
      <c r="G6" s="5">
        <v>1</v>
      </c>
      <c r="H6" s="5">
        <v>30000</v>
      </c>
      <c r="I6" s="4" t="str">
        <v xml:space="preserve"> 1 – One CGIAR Country Strategic Framework for Nepal finalized and launched in 2026, co-developed with national partners and CGIAR Centers to facilitate cross-program collaboration, adaptive management, and portfolio alignment.</v>
      </c>
      <c r="J6" s="4">
        <v>5884</v>
      </c>
    </row>
    <row r="7" ht="50" customHeight="1">
      <c r="B7" s="4" t="str">
        <v>IWMI</v>
      </c>
      <c r="D7"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7" s="4" t="str">
        <v>Number of knowledge products</v>
      </c>
      <c r="F7" s="4" t="str">
        <v>Nigeria</v>
      </c>
      <c r="G7" s="5">
        <v>2</v>
      </c>
      <c r="H7" s="5">
        <v>40000</v>
      </c>
      <c r="I7" s="4" t="str">
        <v xml:space="preserve">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v>
      </c>
      <c r="J7" s="4">
        <v>5885</v>
      </c>
    </row>
    <row r="8" ht="50" customHeight="1">
      <c r="B8" s="4" t="str">
        <v>IWMI</v>
      </c>
      <c r="D8"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8" s="4" t="str">
        <v>Number of knowledge products</v>
      </c>
      <c r="F8" s="4" t="str">
        <v>Nigeria</v>
      </c>
      <c r="G8" s="5">
        <v>2</v>
      </c>
      <c r="H8" s="5">
        <v>40000</v>
      </c>
      <c r="I8" s="4" t="str">
        <v>2 – Two knowledge outputs generated by the end of 2026 in Nigeria, consisting of one participatory workshop completed and one “Demand for Scaling” agenda and accompanying report finalized and disseminated to national stakeholders.</v>
      </c>
      <c r="J8" s="4">
        <v>5978</v>
      </c>
    </row>
    <row r="9" ht="50" customHeight="1">
      <c r="B9" s="4" t="str">
        <v>IWMI</v>
      </c>
      <c r="D9"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9" s="4" t="str">
        <v>Number of knowledge products</v>
      </c>
      <c r="F9" s="4" t="str">
        <v>Nigeria</v>
      </c>
      <c r="G9" s="5">
        <v>1</v>
      </c>
      <c r="H9" s="5">
        <v>20000</v>
      </c>
      <c r="I9" s="4" t="str">
        <v>1 – One methodological framework finalized and validated by the end of 2026 to institutionalize demand signaling and strengthen policy alignment for adaptive research and scaling across one CGIAR priority country (Nigeria).</v>
      </c>
      <c r="J9" s="4">
        <v>5979</v>
      </c>
    </row>
    <row r="10" ht="50" customHeight="1" xml:space="preserve">
      <c r="A10" s="4" t="str">
        <v>AOW01: Engage and Empower</v>
      </c>
      <c r="B10" s="4" t="str">
        <v>IWMI</v>
      </c>
      <c r="C10" s="4" t="str">
        <v>HLO 1.1.1: Demand intelligence system</v>
      </c>
      <c r="D10"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10" s="4" t="str">
        <v>Number of innovations (innovation development)</v>
      </c>
      <c r="F10" s="4" t="str">
        <v>Bangladesh, Nigeria</v>
      </c>
      <c r="G10" s="5">
        <v>2</v>
      </c>
      <c r="H10" s="5">
        <v>250000</v>
      </c>
      <c r="I10" s="4" t="str">
        <v xml:space="preserve">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v>
      </c>
      <c r="J10" s="4">
        <v>5974</v>
      </c>
    </row>
    <row r="11" ht="50" customHeight="1">
      <c r="B11" s="4" t="str">
        <v>IWMI</v>
      </c>
      <c r="D11"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11" s="4" t="str">
        <v>Number of people trained (capacity sharing for development)</v>
      </c>
      <c r="F11" s="4" t="str">
        <v>Nigeria, Bangladesh</v>
      </c>
      <c r="G11" s="5">
        <v>3</v>
      </c>
      <c r="H11" s="5">
        <v>67054</v>
      </c>
      <c r="I11" s="4" t="str">
        <v xml:space="preserve">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v>
      </c>
      <c r="J11" s="4">
        <v>5975</v>
      </c>
    </row>
    <row r="12" ht="50" customHeight="1" xml:space="preserve">
      <c r="B12" s="4" t="str">
        <v>IWMI</v>
      </c>
      <c r="D12"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12" s="4" t="str">
        <v>Number of innovations (innovation development)</v>
      </c>
      <c r="F12" s="4" t="str">
        <v>Bangladesh, Nigeria</v>
      </c>
      <c r="G12" s="5">
        <v>1</v>
      </c>
      <c r="H12" s="5">
        <v>176092</v>
      </c>
      <c r="I12" s="4" t="str" xml:space="preserve">
        <v xml:space="preserve">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25000	Additional top-off funding enables inclusion of one additional country in the CGIAR-DID platform. Country selection based on transparent criteria by PoD lead. IWMI leads; jointly implemented with IITA, IRRI, and Alliance of Bioversity and CIAT.
</v>
      </c>
      <c r="J12" s="4">
        <v>5976</v>
      </c>
    </row>
    <row r="13" ht="50" customHeight="1">
      <c r="B13" s="4" t="str">
        <v>IWMI</v>
      </c>
      <c r="D13"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13" s="4" t="str">
        <v>Number of knowledge products</v>
      </c>
      <c r="F13" s="4" t="str">
        <v>Nigeria</v>
      </c>
      <c r="G13" s="5">
        <v>1</v>
      </c>
      <c r="H13" s="5">
        <v>60000</v>
      </c>
      <c r="I13" s="4" t="str">
        <v>1 – One finalized AKIS diagnostic methodology and report completed and disseminated in Nigeria by the end of 2026, identifying system bottlenecks, actor interlinkages, and actionable entry points for strengthening national agrifood innovation systems toward demand-driven scaling.</v>
      </c>
      <c r="J13" s="4">
        <v>5977</v>
      </c>
    </row>
    <row r="14" ht="50" customHeight="1">
      <c r="B14" s="4" t="str">
        <v>IWMI</v>
      </c>
      <c r="D1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14" s="4" t="str">
        <v>Number of knowledge products</v>
      </c>
      <c r="F14" s="4" t="str">
        <v>Nigeria</v>
      </c>
      <c r="G14" s="5">
        <v>1</v>
      </c>
      <c r="H14" s="5">
        <v>30000</v>
      </c>
      <c r="I14" s="4" t="str">
        <v xml:space="preserve">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v>
      </c>
      <c r="J14" s="4">
        <v>5985</v>
      </c>
    </row>
    <row r="15" ht="50" customHeight="1">
      <c r="B15" s="4" t="str">
        <v>IWMI</v>
      </c>
      <c r="D1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15" s="4" t="str">
        <v>Number of knowledge products</v>
      </c>
      <c r="F15" s="4" t="str">
        <v>Nigeria</v>
      </c>
      <c r="G15" s="5">
        <v>1</v>
      </c>
      <c r="H15" s="5">
        <v>20000</v>
      </c>
      <c r="I15" s="4" t="str">
        <v xml:space="preserve">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v>
      </c>
      <c r="J15" s="4">
        <v>5986</v>
      </c>
    </row>
    <row r="16" ht="25" customHeight="1">
      <c r="C16" s="9" t="str">
        <v>HLO budget subtotal</v>
      </c>
      <c r="H16" s="9">
        <v>873146</v>
      </c>
      <c r="J16" s="9" t="str">
        <v/>
      </c>
    </row>
    <row r="17" ht="50" customHeight="1" xml:space="preserve">
      <c r="A17" s="8" t="str">
        <v>AOW02: Grand Challenges and Scaling Flagships</v>
      </c>
      <c r="B17" s="4" t="str">
        <v>IWMI</v>
      </c>
      <c r="C17" s="4" t="str">
        <v>HLO 2.2.1: Climate smart innovations</v>
      </c>
      <c r="D17" s="4" t="str">
        <v>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7" s="4" t="str">
        <v>Number of knowledge products</v>
      </c>
      <c r="F17" s="4" t="str">
        <v>India, Bangladesh, Nigeria, Kenya, Ethiopia</v>
      </c>
      <c r="G17" s="5">
        <v>3</v>
      </c>
      <c r="H17" s="5">
        <v>103932</v>
      </c>
      <c r="I17" s="4" t="str" xml:space="preserve">
        <v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15,210 	Top-off to Lead centre first KPI
</v>
      </c>
      <c r="J17" s="4">
        <v>5905</v>
      </c>
    </row>
    <row r="18" ht="50" customHeight="1">
      <c r="B18" s="4" t="str">
        <v>IWMI</v>
      </c>
      <c r="D18" s="4" t="str">
        <v>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8" s="4" t="str">
        <v>Number of knowledge products</v>
      </c>
      <c r="F18" s="4" t="str">
        <v>Guatemala, Colombia</v>
      </c>
      <c r="G18" s="5">
        <v>3</v>
      </c>
      <c r="H18" s="5">
        <v>29574</v>
      </c>
      <c r="I18" s="4" t="str">
        <v>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v>
      </c>
      <c r="J18" s="4">
        <v>5906</v>
      </c>
    </row>
    <row r="19" ht="50" customHeight="1">
      <c r="B19" s="4" t="str">
        <v>IWMI</v>
      </c>
      <c r="D19" s="4" t="str">
        <v>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9" s="4" t="str">
        <v>Number of innovations (innovation development)</v>
      </c>
      <c r="F19" s="4" t="str">
        <v>Kenya, India, Bangladesh, Nigeria, Ethiopia</v>
      </c>
      <c r="G19" s="5">
        <v>1</v>
      </c>
      <c r="H19" s="5">
        <v>88723</v>
      </c>
      <c r="I19" s="4" t="str">
        <v>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v>
      </c>
      <c r="J19" s="4">
        <v>7855</v>
      </c>
    </row>
    <row r="20" ht="50" customHeight="1">
      <c r="B20" s="4" t="str">
        <v>IWMI</v>
      </c>
      <c r="D20" s="4" t="str">
        <v>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0" s="4" t="str">
        <v>Number of people trained (capacity sharing for development)</v>
      </c>
      <c r="F20" s="4" t="str">
        <v>Kenya, Ethiopia, Bangladesh, Nigeria, India</v>
      </c>
      <c r="G20" s="5">
        <v>3</v>
      </c>
      <c r="H20" s="5">
        <v>88723</v>
      </c>
      <c r="I20" s="4" t="str">
        <v>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v>
      </c>
      <c r="J20" s="4">
        <v>7858</v>
      </c>
    </row>
    <row r="21" ht="50" customHeight="1">
      <c r="B21" s="4" t="str">
        <v>IWMI</v>
      </c>
      <c r="D21" s="4" t="str">
        <v>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1" s="4" t="str">
        <v>Number of people trained (capacity sharing for development)</v>
      </c>
      <c r="F21" s="4" t="str">
        <v>Colombia, Guatemala</v>
      </c>
      <c r="G21" s="5">
        <v>5</v>
      </c>
      <c r="H21" s="5">
        <v>29574</v>
      </c>
      <c r="I21" s="4" t="str">
        <v>5 Trainings (Training of partners and relevant stakeholders-aimed towards reaching 12K farmers) ) that contribute for 20,000 – Twenty thousand individuals applying climate-smart soil and water solution bundles by the end of 2026 in Guatemala and Colombia.</v>
      </c>
      <c r="J21" s="4">
        <v>7868</v>
      </c>
    </row>
    <row r="22" ht="50" customHeight="1">
      <c r="B22" s="4" t="str">
        <v>IWMI</v>
      </c>
      <c r="D22" s="4" t="str">
        <v>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2" s="4" t="str">
        <v>custom</v>
      </c>
      <c r="F22" s="4" t="str">
        <v>Colombia, Guatemala</v>
      </c>
      <c r="G22" s="5">
        <v>12</v>
      </c>
      <c r="H22" s="5">
        <v>29574</v>
      </c>
      <c r="I22" s="4" t="str">
        <v>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v>
      </c>
      <c r="J22" s="4">
        <v>7869</v>
      </c>
    </row>
    <row r="23" ht="50" customHeight="1">
      <c r="A23" s="4" t="str">
        <v>AOW02: Grand Challenges and Scaling Flagships</v>
      </c>
      <c r="B23" s="4" t="str">
        <v>IWMI</v>
      </c>
      <c r="C23" s="4" t="str">
        <v>HLO 2.2.2: Business models and market-led solutions</v>
      </c>
      <c r="D23" s="4" t="str">
        <v>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v>
      </c>
      <c r="E23" s="4" t="str">
        <v>Number of innovations (innovation development)</v>
      </c>
      <c r="F23" s="4" t="str">
        <v>Nepal</v>
      </c>
      <c r="G23" s="5">
        <v>7</v>
      </c>
      <c r="H23" s="5">
        <v>20931</v>
      </c>
      <c r="I23" s="4" t="str">
        <v>Seven (7) innpvation developed( 7 Multi‑stakeholder platforms launched and functional with public‑private partnerships ) that contribute for three thousand seven hundred eighty jobs for eligible individuals (40% women, 30% youth) by applying CGIAR-linked innovations by the end of 2026</v>
      </c>
      <c r="J23" s="4">
        <v>5921</v>
      </c>
    </row>
    <row r="24" ht="50" customHeight="1">
      <c r="B24" s="4" t="str">
        <v>IWMI</v>
      </c>
      <c r="D24" s="4" t="str">
        <v>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v>
      </c>
      <c r="E24" s="4" t="str">
        <v>Number of knowledge products</v>
      </c>
      <c r="F24" s="4" t="str">
        <v>Nepal</v>
      </c>
      <c r="G24" s="5">
        <v>4</v>
      </c>
      <c r="H24" s="5">
        <v>20931</v>
      </c>
      <c r="I24" s="4" t="str">
        <v>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v>
      </c>
      <c r="J24" s="4">
        <v>5930</v>
      </c>
    </row>
    <row r="25" ht="50" customHeight="1">
      <c r="B25" s="4" t="str">
        <v>IWMI</v>
      </c>
      <c r="D25" s="4" t="str">
        <v>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5" s="4" t="str">
        <v>Number of knowledge products</v>
      </c>
      <c r="F25" s="4" t="str">
        <v>Zimbabwe, Malawi, Zambia</v>
      </c>
      <c r="G25" s="5">
        <v>1</v>
      </c>
      <c r="H25" s="5">
        <v>17745</v>
      </c>
      <c r="I25" s="4" t="str">
        <v xml:space="preserve">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v>
      </c>
      <c r="J25" s="4">
        <v>5940</v>
      </c>
    </row>
    <row r="26" ht="50" customHeight="1">
      <c r="B26" s="4" t="str">
        <v>IWMI</v>
      </c>
      <c r="D26" s="4" t="str">
        <v>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6" s="4" t="str">
        <v>Number of innovations (innovation development)</v>
      </c>
      <c r="F26" s="4" t="str">
        <v>Zimbabwe, Malawi, Zambia</v>
      </c>
      <c r="G26" s="5">
        <v>2</v>
      </c>
      <c r="H26" s="5">
        <v>17745</v>
      </c>
      <c r="I26" s="4" t="str">
        <v>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v>
      </c>
      <c r="J26" s="4">
        <v>5950</v>
      </c>
    </row>
    <row r="27" ht="50" customHeight="1">
      <c r="B27" s="4" t="str">
        <v>IWMI</v>
      </c>
      <c r="D27" s="4" t="str">
        <v>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7" s="4" t="str">
        <v>Number of people trained (capacity sharing for development)</v>
      </c>
      <c r="F27" s="4" t="str">
        <v>Zimbabwe, Malawi, Zambia</v>
      </c>
      <c r="G27" s="5">
        <v>500</v>
      </c>
      <c r="H27" s="5">
        <v>17745</v>
      </c>
      <c r="I27" s="4" t="str">
        <v>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v>
      </c>
      <c r="J27" s="4">
        <v>5953</v>
      </c>
    </row>
    <row r="28" ht="50" customHeight="1">
      <c r="B28" s="4" t="str">
        <v>IWMI</v>
      </c>
      <c r="D28" s="4" t="str">
        <v>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v>
      </c>
      <c r="E28" s="4" t="str">
        <v>custom</v>
      </c>
      <c r="F28" s="4" t="str">
        <v>Nepal</v>
      </c>
      <c r="G28" s="5">
        <v>189</v>
      </c>
      <c r="H28" s="5">
        <v>25931</v>
      </c>
      <c r="I28" s="4" t="str">
        <v>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v>
      </c>
      <c r="J28" s="4">
        <v>8005</v>
      </c>
    </row>
    <row r="29" ht="50" customHeight="1">
      <c r="B29" s="4" t="str">
        <v>IWMI</v>
      </c>
      <c r="D29" s="4" t="str">
        <v>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v>
      </c>
      <c r="E29" s="4" t="str">
        <v>Number of people trained (capacity sharing for development)</v>
      </c>
      <c r="F29" s="4" t="str">
        <v>Nepal</v>
      </c>
      <c r="G29" s="5">
        <v>19000</v>
      </c>
      <c r="H29" s="5">
        <v>20931</v>
      </c>
      <c r="I29" s="4" t="str">
        <v>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v>
      </c>
      <c r="J29" s="4">
        <v>8007</v>
      </c>
    </row>
    <row r="30" ht="25" customHeight="1">
      <c r="C30" s="9" t="str">
        <v>HLO budget subtotal</v>
      </c>
      <c r="H30" s="9">
        <v>512059</v>
      </c>
      <c r="J30" s="9" t="str">
        <v/>
      </c>
    </row>
    <row r="31" ht="50" customHeight="1">
      <c r="A31" s="8" t="str">
        <v>AOW03: Enabling Environment Lab</v>
      </c>
      <c r="B31" s="4" t="str">
        <v>IWMI</v>
      </c>
      <c r="C31" s="4" t="str">
        <v xml:space="preserve">HLO 3.3.1: Enabling environment tools and diagnostics </v>
      </c>
      <c r="D31" s="4" t="str">
        <v>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v>
      </c>
      <c r="E31" s="4" t="str">
        <v>Number of people trained (capacity sharing for development)</v>
      </c>
      <c r="F31" s="4" t="str">
        <v>Zambia, Ethiopia, Nigeria, Kenya</v>
      </c>
      <c r="G31" s="5">
        <v>200</v>
      </c>
      <c r="H31" s="5">
        <v>20000</v>
      </c>
      <c r="I31" s="4" t="str">
        <v>200 – Two hundred cumulative individuals across Kenya, Ethiopia, Nigeria, Malawi, and Zambia (including SME owners, SME intermediaries, enabling-environment institutions, and financial actors) capacitated through targeted enabling-environment technical assistance by end-2026</v>
      </c>
      <c r="J31" s="4">
        <v>5989</v>
      </c>
    </row>
    <row r="32" ht="50" customHeight="1">
      <c r="B32" s="4" t="str">
        <v>IWMI</v>
      </c>
      <c r="D32" s="4" t="str">
        <v>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v>
      </c>
      <c r="E32" s="4" t="str">
        <v>Number of knowledge products</v>
      </c>
      <c r="F32" s="4" t="str">
        <v>Nigeria</v>
      </c>
      <c r="G32" s="5">
        <v>1</v>
      </c>
      <c r="H32" s="5">
        <v>50000</v>
      </c>
      <c r="I32" s="4" t="str">
        <v>1 – One finalized enabling-environment diagnostic and capacity report for Nigeria informing policy and investment frameworks for farmer-led irrigation and irrigated fodder systems by the end of 202</v>
      </c>
      <c r="J32" s="4">
        <v>5990</v>
      </c>
    </row>
    <row r="33" ht="50" customHeight="1">
      <c r="B33" s="4" t="str">
        <v>IWMI</v>
      </c>
      <c r="D33" s="4" t="str">
        <v>A3P2.3: PoD name: Catalyzing Flagship 1.2 Scaling Through Enabling Environment Action. Lead Center: IWMI. PoD KPI: 2 – Two comprehensive reports entailing strategies for scaling on Ethiopia’s PPP framework and Kenya’s PPP guidelines (specifically on irrigation as a service delivery approach) in support ofsustainable irrigation expansion under Kenya’s National Irrigation Sector Investment Plan (NISIP) for AoW2 Flagship 1.2--two reports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offer national guidelines for scaling PPPs in irrigation, especially for irrigation-as-a-service (IaaS), as demanded by the State Department for Irrigation , in direct support to the National Irrigation Sector Investment Plan (NISIP), based on strategic findings from the existing PPP schemes in the country and indicating priority investment areas for government intervention.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Agriculture; Ministry of Irrigation and Lowlands and other irrigation authorities); State Department for Irrigation (Kenya), National Irrigation Authority (NIA) Kenya and other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5, and5, and where needed will include baseline assessments and indicator tracking and reporting in line with Program and CGIAR guidelines.</v>
      </c>
      <c r="E33" s="4" t="str">
        <v>Number of knowledge products</v>
      </c>
      <c r="F33" s="4" t="str">
        <v>Ethiopia</v>
      </c>
      <c r="G33" s="5">
        <v>2</v>
      </c>
      <c r="H33" s="5">
        <v>100000</v>
      </c>
      <c r="I33" s="4" t="str">
        <v>2 – Two comprehensive reports entailing strategies for scaling on Ethiopia’s PPP framework and Kenya’s PPP guidelines</v>
      </c>
      <c r="J33" s="4">
        <v>5991</v>
      </c>
    </row>
    <row r="34" ht="50" customHeight="1">
      <c r="B34" s="4" t="str">
        <v>IWMI</v>
      </c>
      <c r="D34" s="4" t="str">
        <v>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v>
      </c>
      <c r="E34" s="4" t="str">
        <v>Number of knowledge products</v>
      </c>
      <c r="F34" s="4" t="str">
        <v>Kenya</v>
      </c>
      <c r="G34" s="5">
        <v>1</v>
      </c>
      <c r="H34" s="5">
        <v>100000</v>
      </c>
      <c r="I34" s="4" t="str">
        <v xml:space="preserve"> 1 – One finalized enabling-environment diagnostic and policy report for Kenya providing an irrigation tariff and subsidy assessment framework to guide inclusive, climate-smart, and financially sustainable irrigation investment under NISIP by the end of 2026</v>
      </c>
      <c r="J34" s="4">
        <v>5992</v>
      </c>
    </row>
    <row r="35" ht="50" customHeight="1">
      <c r="B35" s="4" t="str">
        <v>IWMI</v>
      </c>
      <c r="D35" s="4" t="str">
        <v>A3P2.1: PoD name: Catalyzing Flagship 1.2 Scaling Through Enabling Environment Action. Lead Center: IWMI. PoD KPI: 465 individuals (300 cooperative and water-user association members, 15 SME or private operators, and 150 public-sector actors) directly engaged to benefit thirty-five thousand individuals from CGIAR-supported PPP irrigation frameworks under AoW 2 Flagship 1.2 in Ethiopia and Kenya,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Indicator type: Capacity Sharing.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 5, and where needed will include baseline assessments and indicator tracking and reporting in line with Program and CGIAR guidelines.</v>
      </c>
      <c r="E35" s="4" t="str">
        <v>Number of people trained (capacity sharing for development)</v>
      </c>
      <c r="F35" s="4" t="str">
        <v>Kenya, Ethiopia</v>
      </c>
      <c r="G35" s="5">
        <v>465</v>
      </c>
      <c r="H35" s="5">
        <v>50000</v>
      </c>
      <c r="I35" s="4" t="str">
        <v>465 individuals (300 cooperative and water-user association members, 15 SME or private operators, and 150 public-sector actors)</v>
      </c>
      <c r="J35" s="4">
        <v>5993</v>
      </c>
    </row>
    <row r="36" ht="50" customHeight="1">
      <c r="B36" s="4" t="str">
        <v>IWMI</v>
      </c>
      <c r="D36" s="4" t="str">
        <v>A3P11.3a: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v>
      </c>
      <c r="E36" s="4" t="str">
        <v>Number of knowledge products</v>
      </c>
      <c r="F36" s="4" t="str">
        <v>Kenya, Bangladesh, Pakistan, Egypt</v>
      </c>
      <c r="G36" s="5">
        <v>5</v>
      </c>
      <c r="H36" s="5">
        <v>50000</v>
      </c>
      <c r="I36" s="4" t="str">
        <v>5 – Five EE “Success and Failure Stories” analytical reports finalized and disseminated by the end of 2026</v>
      </c>
      <c r="J36" s="4">
        <v>7592</v>
      </c>
    </row>
    <row r="37" ht="50" customHeight="1">
      <c r="B37" s="4" t="str">
        <v>IWMI</v>
      </c>
      <c r="D37" s="4" t="str">
        <v>A3P12.1: PoD name: AoW 3 Enabling Environment Engagement: Annual Recommendations Synthesis. KPI Title: Annual recommendations synthesis for improved AoW 3 functioning and 2027 budget design delivered. Lead Center: IWMI. PoD KPI: 1 — One annual recommendations synthesis delivered by end-2026. This PoD enables the AoW 3 lead and Center teams to plan and implement technical workshops and structured engagements with CGIAR Science Programs, government partners, and institutional stakeholders on enabling environment conditions, policy barriers, and institutional arrangements affecting innovation scaling across AoW 3 priority countries. It responds to Risk 5 in the Scaling for Impact Risk Register — fragmented coordination between S4I and Science Programs on policy dialogue — by strengthening the technical coherence of enabling environment engagement across the program. Learnings on policy barriers addressed, institutional progress, and gaps persisting are consolidated into a set of recommendations for improved design and functioning of AoW 3 to inform the 2027 budget and planning cycle. KPI type: Knowledge product. Unit: Number of knowledge products. Target: 1. Geographic location: Global. Countries of implementation: Kenya. Responsible Center: IWMI. KPI Owner: [AoW 3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v>
      </c>
      <c r="E37" s="4" t="str">
        <v>Number of knowledge products</v>
      </c>
      <c r="F37" s="4" t="str">
        <v>Kenya</v>
      </c>
      <c r="G37" s="5">
        <v>1</v>
      </c>
      <c r="H37" s="5">
        <v>58864</v>
      </c>
      <c r="I37" s="4" t="str">
        <v>1 — One annual recommendations synthesis delivered by end-2026.</v>
      </c>
      <c r="J37" s="4">
        <v>8119</v>
      </c>
    </row>
    <row r="38" ht="50" customHeight="1">
      <c r="A38" s="4" t="str">
        <v>AOW03: Enabling Environment Lab</v>
      </c>
      <c r="B38" s="4" t="str">
        <v>IWMI</v>
      </c>
      <c r="C38" s="4" t="str">
        <v xml:space="preserve">HLO 3.3.2: Scaling support services for enabling environment and institutions </v>
      </c>
      <c r="D38" s="4" t="str">
        <v>A3P1.2: PoD name: Accelerating Agribusiness for Impact. Lead Center: IWMI. PoD KPI: Five (5) partners engaged to leverage one million United States dollars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Other Output. Unit: Number of partnerships.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v>
      </c>
      <c r="E38" s="4" t="str">
        <v>custom</v>
      </c>
      <c r="F38" s="4" t="str">
        <v>Ethiopia, Zambia, Nigeria, Kenya</v>
      </c>
      <c r="G38" s="5">
        <v>5</v>
      </c>
      <c r="H38" s="5">
        <v>100000</v>
      </c>
      <c r="I38" s="4" t="str">
        <v>Five (5) partners engaged to leverage one million United States dollars in Kenya through operationalized market mechanisms, blended finance pipelines, and strengthened policy–finance interfaces supporting agrifood SME scaling by the end of 2026</v>
      </c>
      <c r="J38" s="4">
        <v>6008</v>
      </c>
    </row>
    <row r="39" ht="50" customHeight="1">
      <c r="B39" s="4" t="str">
        <v>IWMI</v>
      </c>
      <c r="D39" s="4" t="str">
        <v>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PoD Description: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v>
      </c>
      <c r="E39" s="4" t="str">
        <v>Number of knowledge products</v>
      </c>
      <c r="F39" s="4" t="str">
        <v>Nigeria, Ethiopia, Zambia, Kenya</v>
      </c>
      <c r="G39" s="5">
        <v>1</v>
      </c>
      <c r="H39" s="5">
        <v>120000</v>
      </c>
      <c r="I39" s="4" t="str">
        <v>1 – One peer-reviewed paper from Kenya (Priority 1) documenting enabling-environment diagnostics and policy–finance solutions that expand SME market access, trade competitiveness, and innovation scaling within the irrigation value chain.</v>
      </c>
      <c r="J39" s="4">
        <v>6009</v>
      </c>
    </row>
    <row r="40" ht="50" customHeight="1">
      <c r="B40" s="4" t="str">
        <v>IWMI</v>
      </c>
      <c r="D40" s="4" t="str">
        <v>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Indicator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v>
      </c>
      <c r="E40" s="4" t="str">
        <v>Number of people trained (capacity sharing for development)</v>
      </c>
      <c r="F40" s="4" t="str">
        <v>Cambodia</v>
      </c>
      <c r="G40" s="5">
        <v>5</v>
      </c>
      <c r="H40" s="5">
        <v>55740</v>
      </c>
      <c r="I40" s="4" t="str">
        <v>5 – Five new Sub-WGs in Cambodia established and fully operational by end-2026</v>
      </c>
      <c r="J40" s="4">
        <v>6011</v>
      </c>
    </row>
    <row r="41" ht="50" customHeight="1">
      <c r="B41" s="4" t="str">
        <v>IWMI</v>
      </c>
      <c r="D41" s="4" t="str">
        <v>A3P3.2: PoD name: Country Spotlight Cambodia: Scaling institutional solutions to optimize food systems in Cambodia. Lead Center: IWMI. PoD KPI: Two (2) Partners engaged to  leverage one million US dollars of investment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Number of partnerships.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v>
      </c>
      <c r="E41" s="4" t="str">
        <v>custom</v>
      </c>
      <c r="F41" s="4" t="str">
        <v>Cambodia</v>
      </c>
      <c r="G41" s="5">
        <v>2</v>
      </c>
      <c r="H41" s="5">
        <v>24517</v>
      </c>
      <c r="I41" s="4" t="str">
        <v>Two (2) Partners engaged to leverage one million US dollars of investment in Cambodia by the end of 2026</v>
      </c>
      <c r="J41" s="4">
        <v>6015</v>
      </c>
    </row>
    <row r="42" ht="50" customHeight="1">
      <c r="B42" s="4" t="str">
        <v>IWMI</v>
      </c>
      <c r="D42" s="4" t="str">
        <v>A3P9.4 (Now 3.2.5): PoD name: Inclusive Pathways for Transformative Innovation. Lead Center: IWMI (in collab with Alliance). PoD KPI: 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 as a result of inclusive business and investment acceleration support.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v>
      </c>
      <c r="E42" s="4" t="str">
        <v>Number of people trained (capacity sharing for development)</v>
      </c>
      <c r="F42" s="4" t="str">
        <v>Zambia</v>
      </c>
      <c r="G42" s="5">
        <v>40</v>
      </c>
      <c r="H42" s="5">
        <v>100000</v>
      </c>
      <c r="I42" s="4" t="str">
        <v>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v>
      </c>
      <c r="J42" s="4">
        <v>6019</v>
      </c>
    </row>
    <row r="43" ht="50" customHeight="1">
      <c r="B43" s="4" t="str">
        <v>IWMI</v>
      </c>
      <c r="D43" s="4" t="str">
        <v>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v>
      </c>
      <c r="E43" s="4" t="str">
        <v>Number of people trained (capacity sharing for development)</v>
      </c>
      <c r="F43" s="4" t="str">
        <v>Morocco, Zambia, Malawi</v>
      </c>
      <c r="G43" s="5">
        <v>3000</v>
      </c>
      <c r="H43" s="5">
        <v>81636</v>
      </c>
      <c r="I43" s="4" t="str">
        <v>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v>
      </c>
      <c r="J43" s="4">
        <v>6020</v>
      </c>
    </row>
    <row r="44" ht="50" customHeight="1">
      <c r="B44" s="4" t="str">
        <v>IWMI</v>
      </c>
      <c r="D44" s="4" t="str">
        <v>A3P9.2: PoD name: Mainstreaming Inclusive and Responsible Scaling. Lead Center: IWMI (with IRRI).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Innovation Development. Unit: Number of innovations. PoD Description: This POD supports the Ministry of Finance in Bangladesh to collaboratively plan and implement outcome-driven, transformative Gender Responsive Budgeting with two food system Ministries (Ministry of Water Resources and Ministry of Fisheries). This POD will address CoA 1.1 and CoA 1.2 and is aligned to the AoW2 solution track - Scaling Delivery Systems for Carp, Tilapia, and Small Indigenous Species (SIS) Genetics and Input Services in Bangladesh, addressing the identified risk that planned interventions might exclude women, youth, and marginalized households. Additionally, this POD is aligned to and will be co-funded by the forthcoming AMD Phase 2 Program. This activity will provide scalable "GRB toolbox" for application in other countries and contexts. The package focuses on four interlinked themes: (i) supporting gender-responsive budgeting so that policies and resources systematically prioritize GESI outcomes; (ii) strengthening capacities of accelerators and partners through Gender Action Plans, technical assistance, and gender-lens investment approaches that facilitate women- and youth-led food systems livelihoods and enterprises; (iii) institutionalizing responsible and inclusive scaling within AoW2 flagship via tailored roadmaps, tools, and training, and leveraged blended financing through the Orange Bond Initiative (Government, UNDP, IIX to Launch Orange Bonds for Inclusive Growth and Climate Action | United Nations Development Programme); and (iv) using participatory approaches to foster community ownership, reduce unintended negative impacts, and amplify the voices of women, youth, and marginalized groups in innovation adoption. Accountable Center leading this PoD: IWMI. Anticipated partners: Ministry of Finance (Bangladesh); Ministry of Women Affairs (Bangladesh); Ministry of Fisheries and Livestock (Bangladesh); Ministry of Water Resources (Bangladesh); East West University (Bangladesh); and collaborators engaged through the National Gender Responsive Budget co-investment mechanism. MELIA: Monitoring, evaluation, and learning plans will be developed in early 2026 in cooperation with the S4I PMU and/or AoW 5, and where needed will include baseline assessments and indicator tracking and reporting in line with Program and CGIAR guidelines.</v>
      </c>
      <c r="E44" s="4" t="str">
        <v>Number of innovations (innovation development)</v>
      </c>
      <c r="F44" s="4" t="str">
        <v>Bangladesh</v>
      </c>
      <c r="G44" s="5">
        <v>2</v>
      </c>
      <c r="H44" s="5">
        <v>50000</v>
      </c>
      <c r="I44" s="4" t="str">
        <v>2 – Two cumulative scaling innovations in Bangladesh integrating the equity, ethics, and responsibility checklist into their operational planning, monitoring, and gender- and youth-responsive pathways by the end of 2026</v>
      </c>
      <c r="J44" s="4">
        <v>6021</v>
      </c>
    </row>
    <row r="45" ht="50" customHeight="1">
      <c r="B45" s="4" t="str">
        <v>IWMI</v>
      </c>
      <c r="D45" s="4" t="str">
        <v>A3P13.3 FCDO : PoD name: Advancing Conflict-Sensitive Scaling Pathways in Fragile Contexts through Structured Technical Support and Partnerships. KPI Title: Foundational knowledge products for FCAS scaling. Lead Center: IWMI. PoD KPI: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Geographic location: Nigeria, Ethiopia. Responsible Center: IWMI. KPI Owner: Josey Kamanda. Partners: WFP. Partner modality: Partner Budget USD 200,000. Budget (USD): 146,666. Total Budget (USD): 346,666. MELIA: Monitoring, evaluation, and learning plans will be developed in early 2026 in cooperation with the S4I PMU and/or AoW‑5, and where needed will include baseline assessments and indicator tracking and reporting in line with Program and CGIAR guidelines.</v>
      </c>
      <c r="E45" s="4" t="str">
        <v>Number of knowledge products</v>
      </c>
      <c r="F45" s="4" t="str">
        <v>Ethiopia, Nigeria</v>
      </c>
      <c r="G45" s="5">
        <v>5</v>
      </c>
      <c r="H45" s="5">
        <v>312254</v>
      </c>
      <c r="I45" s="4" t="str">
        <v xml:space="preserve">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v>
      </c>
      <c r="J45" s="4">
        <v>8121</v>
      </c>
    </row>
    <row r="46" ht="50" customHeight="1" xml:space="preserve">
      <c r="B46" s="4" t="str">
        <v>IWMI</v>
      </c>
      <c r="D46" s="4" t="str" xml:space="preserve">
        <v xml:space="preserve">A3P13.4 FCDO : PoD name: Advancing Conflict-Sensitive Scaling Pathways in Fragile Contexts through Structured Technical Support and Partnerships. KPI Title: Learning and dissemination outputs. Lead Center: IWMI. PoD KPI: Learning and dissemination outputs. (a) 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 Geographic location: Nigeria, Ethiopia. Responsible Centre: IWMI. KPI Owner: Josey Kamanda. Partners: WFP. Partner modality: Partner Budget USD 80,000. Budget (USD): 100,000. Total Budget (USD): 180,000. MELIA: Monitoring, evaluation, and learning plans will be developed in early 2026 in cooperation with the S4I PMU and/or AoW‑5, and where needed will include baseline assessments and indicator tracking and reporting in line with Program and CGIAR guidelines.
</v>
      </c>
      <c r="E46" s="4" t="str">
        <v>Number of people trained (capacity sharing for development)</v>
      </c>
      <c r="F46" s="4" t="str">
        <v>Nigeria, Ethiopia</v>
      </c>
      <c r="G46" s="5">
        <v>70</v>
      </c>
      <c r="H46" s="5">
        <v>162132</v>
      </c>
      <c r="I46" s="4" t="str">
        <v>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v>
      </c>
      <c r="J46" s="4">
        <v>8122</v>
      </c>
    </row>
    <row r="47" ht="50" customHeight="1" xml:space="preserve">
      <c r="A47" s="4" t="str">
        <v>AOW03: Enabling Environment Lab</v>
      </c>
      <c r="B47" s="4" t="str">
        <v>IWMI</v>
      </c>
      <c r="C47" s="4" t="str">
        <v xml:space="preserve">HLO 3.3.3: Science-policy networks and partnerships for scaling </v>
      </c>
      <c r="D47" s="4" t="str" xml:space="preserve">
        <v xml:space="preserve">A3P11.4: PoD name: The EE Playbook — Frameworks, Methods, and Tools for Scaling. Lead Center: IWMI. PoD KPI: 5000– Five thousand individual users specifically targeting Science Programs, AoW2 and external partners trained or actively applying digitized EE Toolbox tools and readiness scorecards by the end of 2026 to strengthen institutional capacities for scaling innovation bundles. 
Suggested Disaggregation: 1,200 women and youth (40%), 300 marginalized groups (10%), and 1,500 other individuals (50%). 
Indicator type: Other Output. Unit: Number of individuals. 
PoD Description: This package positions the Enabling Environment (EE) Lab as a cross-cutting global public good supporting Science Programs,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Alliance of Bioversity and CIAT.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v>
      </c>
      <c r="E47" s="4" t="str">
        <v>Number of people trained (capacity sharing for development)</v>
      </c>
      <c r="F47" s="4" t="str">
        <v>Colombia, Kenya, Ethiopia</v>
      </c>
      <c r="G47" s="5">
        <v>5000</v>
      </c>
      <c r="H47" s="5">
        <v>100000</v>
      </c>
      <c r="I47" s="4" t="str">
        <v>5000– Five thousand individual users specifically targeting Science Programs, AoW2 and external partners trained or actively applying digitized EE Toolbox tools and readiness scorecards by the end of 2026</v>
      </c>
      <c r="J47" s="4">
        <v>6025</v>
      </c>
    </row>
    <row r="48" ht="25" customHeight="1">
      <c r="C48" s="9" t="str">
        <v>HLO budget subtotal</v>
      </c>
      <c r="H48" s="9">
        <v>1535143</v>
      </c>
      <c r="J48" s="9" t="str">
        <v/>
      </c>
    </row>
    <row r="49" ht="50" customHeight="1" xml:space="preserve">
      <c r="A49" s="8" t="str">
        <v>AOW04: Achieving Impact by Unlocking Finance and Partnerships</v>
      </c>
      <c r="B49" s="4" t="str">
        <v>IWMI</v>
      </c>
      <c r="C49" s="4" t="str">
        <v>HLO 4.4.2: Partnerships and institutional arrangements for unlocking blended financing</v>
      </c>
      <c r="D49" s="4" t="str" xml:space="preserve">
        <v xml:space="preserve">A4P12.3 PoD name (Lead Center: IWMI): Water Tech Support to ImpactSF. PoD KPI: Two-2 knowledge products (Nature-based 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Knowledge Product. Unit: Number of reports.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
</v>
      </c>
      <c r="E49" s="4" t="str">
        <v>Number of knowledge products</v>
      </c>
      <c r="F49" s="4" t="str">
        <v>India, Zambia, Kenya</v>
      </c>
      <c r="G49" s="5">
        <v>2</v>
      </c>
      <c r="H49" s="5">
        <v>32608</v>
      </c>
      <c r="I49" s="4" t="str">
        <v>4 Knowldege products (Nature based‑Positive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v>
      </c>
      <c r="J49" s="4">
        <v>6032</v>
      </c>
    </row>
    <row r="50" ht="50" customHeight="1">
      <c r="B50" s="4" t="str">
        <v>IWMI</v>
      </c>
      <c r="D50" s="4" t="str">
        <v>A4P12.4 PoD name (Lead Center: IWMI): Water Tech Support to ImpactSF. PoD KPI: Three-3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Innovation Development. Unit: Number of innovations.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v>
      </c>
      <c r="E50" s="4" t="str">
        <v>Number of innovations (innovation development)</v>
      </c>
      <c r="F50" s="4" t="str">
        <v>Kenya</v>
      </c>
      <c r="G50" s="5">
        <v>1</v>
      </c>
      <c r="H50" s="5">
        <v>32608</v>
      </c>
      <c r="I50" s="4" t="str">
        <v>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v>
      </c>
      <c r="J50" s="4">
        <v>8286</v>
      </c>
    </row>
    <row r="51" ht="50" customHeight="1">
      <c r="A51" s="4" t="str">
        <v>AOW04: Achieving Impact by Unlocking Finance and Partnerships</v>
      </c>
      <c r="B51" s="4" t="str">
        <v>IWMI</v>
      </c>
      <c r="C51" s="4" t="str">
        <v>HLO 4.4.1: Technical assistance for financing for innovation scaling</v>
      </c>
      <c r="D51" s="4" t="str">
        <v>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v>
      </c>
      <c r="E51" s="4" t="str">
        <v>Number of knowledge products</v>
      </c>
      <c r="F51" s="4" t="str">
        <v>Bangladesh, Morocco, Egypt</v>
      </c>
      <c r="G51" s="5">
        <v>3</v>
      </c>
      <c r="H51" s="5">
        <v>81521</v>
      </c>
      <c r="I51" s="4" t="str">
        <v>3 – Three finalized country diagnostics and investment briefs (Egypt, Morocco, Bangladesh) validated with IsDB and government partners, establishing entry points for CGIAR innovation integration and investment design by the end of 2026</v>
      </c>
      <c r="J51" s="4">
        <v>8032</v>
      </c>
    </row>
    <row r="52" ht="50" customHeight="1">
      <c r="B52" s="4" t="str">
        <v>IWMI</v>
      </c>
      <c r="D52" s="4" t="str">
        <v>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v>
      </c>
      <c r="E52" s="4" t="str">
        <v>Number of innovations (innovation development)</v>
      </c>
      <c r="F52" s="4" t="str">
        <v>Morocco, Egypt, Bangladesh</v>
      </c>
      <c r="G52" s="5">
        <v>6</v>
      </c>
      <c r="H52" s="5">
        <v>81521</v>
      </c>
      <c r="I52" s="4" t="str">
        <v>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v>
      </c>
      <c r="J52" s="4">
        <v>8034</v>
      </c>
    </row>
    <row r="53" ht="50" customHeight="1">
      <c r="B53" s="4" t="str">
        <v>IWMI</v>
      </c>
      <c r="D53" s="4" t="str">
        <v>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v>
      </c>
      <c r="E53" s="4" t="str">
        <v>Number of knowledge products</v>
      </c>
      <c r="F53" s="4" t="str">
        <v>Bangladesh</v>
      </c>
      <c r="G53" s="5">
        <v>4</v>
      </c>
      <c r="H53" s="5">
        <v>30000</v>
      </c>
      <c r="I53" s="4" t="str">
        <v>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v>
      </c>
      <c r="J53" s="4">
        <v>8159</v>
      </c>
    </row>
    <row r="54" ht="25" customHeight="1">
      <c r="C54" s="9" t="str">
        <v>HLO budget subtotal</v>
      </c>
      <c r="H54" s="9">
        <v>258258</v>
      </c>
      <c r="J54" s="9" t="str">
        <v/>
      </c>
    </row>
    <row r="55" ht="50" customHeight="1">
      <c r="A55" s="8" t="str">
        <v>AOW05: Learning for Impact</v>
      </c>
      <c r="B55" s="4" t="str">
        <v>IWMI</v>
      </c>
      <c r="C55" s="4" t="str">
        <v xml:space="preserve">HLO 5.5.1: Scaling science for societal impact </v>
      </c>
      <c r="D55" s="4" t="str">
        <v>A5P2.3: PoD name: Scaling Bridges: The South–South Learning Networks. Lead Center: IWMI. PoD KPI: 2 – Two finalized strategies integrating CGIAR innovation and scaling frameworks into TVET curricula by end-2026. Suggested Disaggregation: 3 TVET institutions (60%), 2 regional university or partner organizations (40%). Indicator type: Knowledge Product. Unit: Number of strategies.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E55" s="4" t="str">
        <v>Number of knowledge products</v>
      </c>
      <c r="F55" s="4" t="str">
        <v>Ethiopia, Zambia</v>
      </c>
      <c r="G55" s="5">
        <v>2</v>
      </c>
      <c r="H55" s="5">
        <v>15000</v>
      </c>
      <c r="I55" s="4" t="str">
        <v>2 – Two finalized strategies integrating CGIAR innovation and scaling frameworks into TVET curricula by end-2026.</v>
      </c>
      <c r="J55" s="4">
        <v>6066</v>
      </c>
    </row>
    <row r="56" ht="50" customHeight="1" xml:space="preserve">
      <c r="B56" s="4" t="str">
        <v>IWMI</v>
      </c>
      <c r="D56" s="4" t="str" xml:space="preserve">
        <v xml:space="preserve">A5P3.2: PoD name: Scaling Forward: CAPSHA for Change. Lead Center: IWMI. PoD KPI: 200 – Two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two regional hubs— East and Southern Africa and South Asia. The program strengthens individual and institutional capacity to apply CGIAR scaling frameworks, innovation systems thinking, and responsible scaling. Participants include CGIAR staff and partners from research, policy, and private sectors. The initiative promotes gender balance and equitable participation,. By 2026, 200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v>
      </c>
      <c r="E56" s="4" t="str">
        <v>Number of people trained (capacity sharing for development)</v>
      </c>
      <c r="F56" s="4" t="str">
        <v>Nepal, Ethiopia</v>
      </c>
      <c r="G56" s="5">
        <v>200</v>
      </c>
      <c r="H56" s="5">
        <v>36000</v>
      </c>
      <c r="I56" s="4" t="str">
        <v xml:space="preserve">200 – Two hundred individuals trained and certified by end-2026. </v>
      </c>
      <c r="J56" s="4">
        <v>6068</v>
      </c>
    </row>
    <row r="57" ht="50" customHeight="1">
      <c r="B57" s="4" t="str">
        <v>IWMI</v>
      </c>
      <c r="D57" s="4" t="str">
        <v>A5P6.1: PoD name: Scaling Hub – South Asia. Lead Center: IWMI. PoD KPI: 2,000,000 – Two million U.S. dollars co-funding and scaling finance mobilized through Hub partnerships by the end of 2026, supporting innovation scaling in national agrifood systems across Bangladesh, India, Nepal, and Suggested Disaggregation: 800,000 women and youth (40%), 200,000 marginalized groups (10%), 1,000,000 other individuals (50%). Indicator type: Other Output. Unit: Number of partnership..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v>
      </c>
      <c r="E57" s="4" t="str">
        <v>custom</v>
      </c>
      <c r="F57" s="4" t="str">
        <v>Nepal, Bangladesh, India</v>
      </c>
      <c r="G57" s="5">
        <v>5</v>
      </c>
      <c r="H57" s="5">
        <v>25000</v>
      </c>
      <c r="I57" s="4" t="str">
        <v>Two million U.S. dollars co-funding and scaling finance mobilized through Hub partnerships by the end of 2026</v>
      </c>
      <c r="J57" s="4">
        <v>6076</v>
      </c>
    </row>
    <row r="58" ht="50" customHeight="1" xml:space="preserve">
      <c r="B58" s="4" t="str">
        <v>IWMI</v>
      </c>
      <c r="D58" s="4" t="str" xml:space="preserve">
        <v xml:space="preserve">A5P6.3: PoD name: Scaling Hub - South Asia. Lead Center: IWMI. PoD KPI: 10 – Ten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v>
      </c>
      <c r="E58" s="4" t="str">
        <v>Number of people trained (capacity sharing for development)</v>
      </c>
      <c r="F58" s="4" t="str">
        <v>Nepal, Bangladesh, India</v>
      </c>
      <c r="G58" s="5">
        <v>10</v>
      </c>
      <c r="H58" s="5">
        <v>24000</v>
      </c>
      <c r="I58" s="4" t="str">
        <v xml:space="preserve"> 10 – Ten CGIAR and partner projects across Bangladesh, India, Nepal, and apply adaptive management and scaling frameworks generated by the South Asia Hub by the end of 2026.</v>
      </c>
      <c r="J58" s="4">
        <v>6077</v>
      </c>
    </row>
    <row r="59" ht="50" customHeight="1">
      <c r="B59" s="4" t="str">
        <v>IWMI</v>
      </c>
      <c r="D59" s="4" t="str">
        <v>A5P6.4: PoD name: Scaling Hub - South Asia. Lead Center: IWMI. PoD KPI: 200 – Two hundred individuals (120 men, 80 women) from Bangladesh, India, Nepal, and engaged in four South–South learning events, scaling processes,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v>
      </c>
      <c r="E59" s="4" t="str">
        <v>Number of people trained (capacity sharing for development)</v>
      </c>
      <c r="F59" s="4" t="str">
        <v>Nepal, India, Bangladesh</v>
      </c>
      <c r="G59" s="5">
        <v>200</v>
      </c>
      <c r="H59" s="5">
        <v>24000</v>
      </c>
      <c r="I59" s="4" t="str">
        <v>200 – Two hundred individuals (120 men, 80 women) from Bangladesh, India, Nepal, and engaged in four South–South learning events, scaling processes, scaling finance, and policy engagement under AoW 5 CoA 5.5 by the end of 2026.</v>
      </c>
      <c r="J59" s="4">
        <v>6078</v>
      </c>
    </row>
    <row r="60" ht="50" customHeight="1">
      <c r="B60" s="4" t="str">
        <v>IWMI</v>
      </c>
      <c r="D60" s="4" t="str">
        <v>A5P8.9: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Innovation Development.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v>
      </c>
      <c r="E60" s="4" t="str">
        <v>Number of innovations (innovation development)</v>
      </c>
      <c r="F60" s="4" t="str">
        <v>Ethiopia, Nepal</v>
      </c>
      <c r="G60" s="5">
        <v>1</v>
      </c>
      <c r="H60" s="5">
        <v>28000</v>
      </c>
      <c r="I60" s="4" t="str">
        <v xml:space="preserve"> 1 – One finalized toolkit for adaptive MELIA produced and validated by the end of 2026, piloted in at least one scaling pathway across AoW2 and AoW5</v>
      </c>
      <c r="J60" s="4">
        <v>6087</v>
      </c>
    </row>
    <row r="61" ht="50" customHeight="1">
      <c r="A61" s="4" t="str">
        <v>AOW05: Learning for Impact</v>
      </c>
      <c r="B61" s="4" t="str">
        <v>IWMI</v>
      </c>
      <c r="C61" s="4" t="str">
        <v>HLO 5.5.2: Evidence-based evaluation and dynamic learning insights</v>
      </c>
      <c r="D61" s="4" t="str">
        <v>A5P6.2: PoD name: Scaling Hub - South Asia. Lead Center: IWMI. PoD KPI: 5 - Five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v>
      </c>
      <c r="E61" s="4" t="str">
        <v>Number of people trained (capacity sharing for development)</v>
      </c>
      <c r="F61" s="4" t="str">
        <v>Nepal, Bangladesh, India</v>
      </c>
      <c r="G61" s="5">
        <v>5</v>
      </c>
      <c r="H61" s="5">
        <v>24000</v>
      </c>
      <c r="I61" s="4" t="str">
        <v xml:space="preserve">5 - Five CGIAR and partner projects across Bangladesh, India, Nepal, and apply adaptive management and scaling frameworks generated by the South Asia Hub by the end of 2026. </v>
      </c>
      <c r="J61" s="4">
        <v>6096</v>
      </c>
    </row>
    <row r="62" ht="50" customHeight="1">
      <c r="B62" s="4" t="str">
        <v>IWMI</v>
      </c>
      <c r="D62" s="4" t="str">
        <v>A5P12.6 PoD Name: Dynamic Learning and Adaptive Management Strategy — IWMI S4I Scaling Pathway Engagement: KPI Title: Dynamic Learning IPSR Workshop Documentation and MEL Strategy for Private Sector-Led Solar Powered Irrigation Systems Solution Track. PoD KPI: 1 — One completed Innovation Package Scaling Readiness (IPSR) assessment uploaded to PRMS for IWMI’s AoW2 Flagship Solution Track (scaling private-sector-led Solar-Powered Irrigation Systems (SPIS) for climate-resilient smallholder farming in Sub-Saharan Africa),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IWMI’s solution track in AoW2 — specifically scaling private-sector-led Solar-Powered Irrigation Systems (SPIS) for climate-resilient smallholder farming in Sub-Saharan Africa.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IWMI. PoD Owner: Iddo Dror. KPI Owner: m.al-zubi@cgiar.org. Anticipated partners: Not applicable. Partner modality: Not applicable. Countries of implementation: Nigeria, Ethiopia, Kenya. Location of benefit: Sub-Saharan Africa (Nigeria, Ethiopia, Kenya).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v>
      </c>
      <c r="E62" s="4" t="str">
        <v>Number of innovations (innovation development)</v>
      </c>
      <c r="F62" s="4" t="str">
        <v>Kenya, Nigeria, Ethiopia</v>
      </c>
      <c r="G62" s="5">
        <v>1</v>
      </c>
      <c r="H62" s="5">
        <v>10000</v>
      </c>
      <c r="I62" s="4" t="str">
        <v xml:space="preserve">1 — One completed Innovation Package Scaling Readiness (IPSR) assessment uploaded to PRMS for IWMI’s AoW2 Flagship Solution Track (scaling private-sector-led Solar-Powered Irrigation Systems (SPIS) for climate-resilient smallholder farming in Sub-Saharan Africa), delivered by end of 2026. </v>
      </c>
      <c r="J62" s="4">
        <v>8107</v>
      </c>
    </row>
    <row r="63" ht="25" customHeight="1">
      <c r="C63" s="9" t="str">
        <v>HLO budget subtotal</v>
      </c>
      <c r="H63" s="9">
        <v>186000</v>
      </c>
      <c r="J63" s="9" t="str">
        <v/>
      </c>
    </row>
  </sheetData>
  <mergeCells count="27">
    <mergeCell ref="A1:A2"/>
    <mergeCell ref="B1:B2"/>
    <mergeCell ref="C1:C2"/>
    <mergeCell ref="D1:H1"/>
    <mergeCell ref="I1:I2"/>
    <mergeCell ref="J1:J2"/>
    <mergeCell ref="C3:C4"/>
    <mergeCell ref="C5:C9"/>
    <mergeCell ref="C10:C15"/>
    <mergeCell ref="C16:G16"/>
    <mergeCell ref="A3:A16"/>
    <mergeCell ref="C17:C22"/>
    <mergeCell ref="C23:C29"/>
    <mergeCell ref="C30:G30"/>
    <mergeCell ref="A17:A30"/>
    <mergeCell ref="C31:C37"/>
    <mergeCell ref="C38:C46"/>
    <mergeCell ref="C48:G48"/>
    <mergeCell ref="A31:A48"/>
    <mergeCell ref="C49:C50"/>
    <mergeCell ref="C51:C53"/>
    <mergeCell ref="C54:G54"/>
    <mergeCell ref="A49:A54"/>
    <mergeCell ref="C55:C60"/>
    <mergeCell ref="C61:C62"/>
    <mergeCell ref="C63:G63"/>
    <mergeCell ref="A55:A63"/>
  </mergeCells>
  <ignoredErrors>
    <ignoredError numberStoredAsText="1" sqref="A1:J63"/>
  </ignoredErrors>
</worksheet>
</file>

<file path=xl/worksheets/sheet3.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Engage and Empower</v>
      </c>
      <c r="B2" s="4" t="str">
        <v>Unknown Center</v>
      </c>
      <c r="C2" s="4" t="str">
        <v>IWMI</v>
      </c>
      <c r="D2" s="4" t="str">
        <v>Bangladesh, Kenya, Nepal, Ethiopia</v>
      </c>
      <c r="E2" s="5">
        <v>39500</v>
      </c>
      <c r="F2" s="4" t="str">
        <v>Unknown Center-IWMI</v>
      </c>
      <c r="G2" s="4">
        <v>15</v>
      </c>
    </row>
    <row r="3" ht="50" customHeight="1">
      <c r="A3" s="4" t="str">
        <v>AOW01: Engage and Empower</v>
      </c>
      <c r="B3" s="4" t="str">
        <v>Department of Water Resources and Irrigation</v>
      </c>
      <c r="C3" s="4" t="str">
        <v>IWMI</v>
      </c>
      <c r="D3" s="4" t="str">
        <v>Nepal</v>
      </c>
      <c r="E3" s="5">
        <v>4220</v>
      </c>
      <c r="F3" s="4" t="str">
        <v>A1P19.1: PoD name: CGIAR Country Strategy and Coordination. Lead Center: IWMI. PoD KPI: 1 – One CGIAR Country Strategic Framework for Nepal finalized and launched in 2026</v>
      </c>
      <c r="G3" s="4">
        <v>498</v>
      </c>
    </row>
    <row r="4" ht="50" customHeight="1" xml:space="preserve">
      <c r="A4" s="4" t="str">
        <v>AOW01: Engage and Empower</v>
      </c>
      <c r="B4" s="4" t="str">
        <v>Federal Ministry of Water Resources &amp; Sanitation</v>
      </c>
      <c r="C4" s="4" t="str">
        <v>IWMI</v>
      </c>
      <c r="D4" s="4" t="str">
        <v>Nigeria</v>
      </c>
      <c r="E4" s="5">
        <v>4000</v>
      </c>
      <c r="F4" s="4" t="str" xml:space="preserve">
        <v xml:space="preserve">
Federal Ministry of Water Resources &amp; Sanitation</v>
      </c>
      <c r="G4" s="4">
        <v>499</v>
      </c>
    </row>
    <row r="5" ht="50" customHeight="1" xml:space="preserve">
      <c r="A5" s="4" t="str">
        <v>AOW01: Engage and Empower</v>
      </c>
      <c r="B5" s="4" t="str">
        <v xml:space="preserve">Federal Ministry of Livestock Development </v>
      </c>
      <c r="C5" s="4" t="str">
        <v>IWMI</v>
      </c>
      <c r="D5" s="4" t="str">
        <v>Nigeria</v>
      </c>
      <c r="E5" s="5">
        <v>7378</v>
      </c>
      <c r="F5" s="4" t="str" xml:space="preserve">
        <v xml:space="preserve">
Federal Ministry of Livestock Development</v>
      </c>
      <c r="G5" s="4">
        <v>500</v>
      </c>
    </row>
    <row r="6" ht="25" customHeight="1">
      <c r="B6" s="9" t="str">
        <v>Contracted partners subtotal</v>
      </c>
      <c r="E6" s="9">
        <v>55098</v>
      </c>
      <c r="F6" s="9" t="str">
        <v/>
      </c>
      <c r="G6" s="9" t="str">
        <v/>
      </c>
    </row>
    <row r="7" ht="50" customHeight="1" xml:space="preserve">
      <c r="A7" s="8" t="str">
        <v>AOW02: Grand Challenges and Scaling Flagships</v>
      </c>
      <c r="B7" s="4" t="str">
        <v>Unknown Center</v>
      </c>
      <c r="C7" s="4" t="str">
        <v>IWMI</v>
      </c>
      <c r="D7" s="4" t="str">
        <v>Nepal, Bangladesh, Nigeria, Ethiopia</v>
      </c>
      <c r="E7" s="5">
        <v>43500</v>
      </c>
      <c r="F7" s="4" t="str" xml:space="preserve">
        <v xml:space="preserve">PoD name: Market led partnerships for resilient agri-food systems in Terai region of Nepal.- 5K
PoD name: Scaling Private-sector-led Solar-Powered Irrigation Systems (SPIS) for Climate-Resilient Smallholder Farming in Sub-Saharan Africa. L</v>
      </c>
      <c r="G7" s="4">
        <v>366</v>
      </c>
    </row>
    <row r="8" ht="50" customHeight="1" xml:space="preserve">
      <c r="A8" s="4" t="str">
        <v>AOW02: Grand Challenges and Scaling Flagships</v>
      </c>
      <c r="B8" s="4" t="str">
        <v>Department of Water Resources and Irrigation</v>
      </c>
      <c r="C8" s="4" t="str">
        <v>IWMI</v>
      </c>
      <c r="D8" s="4" t="str">
        <v>Nepal</v>
      </c>
      <c r="E8" s="5">
        <v>5000</v>
      </c>
      <c r="F8" s="4" t="str" xml:space="preserve">
        <v xml:space="preserve">1.AoW2-SolarPower
</v>
      </c>
      <c r="G8" s="4">
        <v>501</v>
      </c>
    </row>
    <row r="9" ht="25" customHeight="1">
      <c r="B9" s="9" t="str">
        <v>Contracted partners subtotal</v>
      </c>
      <c r="E9" s="9">
        <v>48500</v>
      </c>
      <c r="F9" s="9" t="str">
        <v/>
      </c>
      <c r="G9" s="9" t="str">
        <v/>
      </c>
    </row>
    <row r="10" ht="50" customHeight="1">
      <c r="A10" s="8" t="str">
        <v>AOW03: Enabling Environment Lab</v>
      </c>
      <c r="B10" s="4" t="str">
        <v>Cambodia Development Resource Institute</v>
      </c>
      <c r="C10" s="4" t="str">
        <v>IWMI</v>
      </c>
      <c r="D10" s="4" t="str">
        <v>Cambodia</v>
      </c>
      <c r="E10" s="5">
        <v>10000</v>
      </c>
      <c r="F10" s="4" t="str">
        <v>No budget assumption</v>
      </c>
      <c r="G10" s="4">
        <v>202</v>
      </c>
    </row>
    <row r="11" ht="50" customHeight="1">
      <c r="A11" s="4" t="str">
        <v>AOW03: Enabling Environment Lab</v>
      </c>
      <c r="B11" s="4" t="str">
        <v>World Food Programme</v>
      </c>
      <c r="C11" s="4" t="str">
        <v>IWMI</v>
      </c>
      <c r="D11" s="4" t="str">
        <v>Nigeria, Ethiopia</v>
      </c>
      <c r="E11" s="5">
        <v>280000</v>
      </c>
      <c r="F11" s="4" t="str">
        <v>FCDO PoD A3P13.3 (200K) and A3P13.4 (80K)</v>
      </c>
      <c r="G11" s="4">
        <v>354</v>
      </c>
    </row>
    <row r="12" ht="50" customHeight="1" xml:space="preserve">
      <c r="A12" s="4" t="str">
        <v>AOW03: Enabling Environment Lab</v>
      </c>
      <c r="B12" s="4" t="str">
        <v>Unknown Center</v>
      </c>
      <c r="C12" s="4" t="str">
        <v>IWMI</v>
      </c>
      <c r="D12" s="4" t="str">
        <v>India, Bangladesh, Nigeria, Kenya, Ethiopia</v>
      </c>
      <c r="E12" s="5">
        <v>54000</v>
      </c>
      <c r="F12" s="4" t="str" xml:space="preserve">
        <v xml:space="preserve">Ethiopia (20%), Kenya (40%), Nigeria (20%) and Zambia (20%)
Country: Ethiopia (100%)
</v>
      </c>
      <c r="G12" s="4">
        <v>367</v>
      </c>
    </row>
    <row r="13" ht="50" customHeight="1" xml:space="preserve">
      <c r="A13" s="4" t="str">
        <v>AOW03: Enabling Environment Lab</v>
      </c>
      <c r="B13" s="4" t="str">
        <v>Meramo Consulting</v>
      </c>
      <c r="C13" s="4" t="str">
        <v>IWMI</v>
      </c>
      <c r="D13" s="4" t="str">
        <v>Zambia, Morocco, Malawi</v>
      </c>
      <c r="E13" s="5">
        <v>22000</v>
      </c>
      <c r="F13" s="4" t="str" xml:space="preserve">
        <v xml:space="preserve">Meramo and Responsible Innovation
</v>
      </c>
      <c r="G13" s="4">
        <v>368</v>
      </c>
    </row>
    <row r="14" ht="25" customHeight="1">
      <c r="B14" s="9" t="str">
        <v>Contracted partners subtotal</v>
      </c>
      <c r="E14" s="9">
        <v>366000</v>
      </c>
      <c r="F14" s="9" t="str">
        <v/>
      </c>
      <c r="G14" s="9" t="str">
        <v/>
      </c>
    </row>
    <row r="15" ht="50" customHeight="1" xml:space="preserve">
      <c r="A15" s="8" t="str">
        <v>AOW04: Achieving Impact by Unlocking Finance and Partnerships</v>
      </c>
      <c r="B15" s="4" t="str">
        <v>Unknown Center</v>
      </c>
      <c r="C15" s="4" t="str">
        <v>IWMI</v>
      </c>
      <c r="D15" s="4" t="str">
        <v>India, Kenya, Morocco, Bangladesh, Zambia</v>
      </c>
      <c r="E15" s="5">
        <v>10009</v>
      </c>
      <c r="F15" s="4" t="str" xml:space="preserve">
        <v xml:space="preserve">Country: India (33%); Zambia (33%); Kenya (33%)
Country: Kenya (100%)
Egypt (34%); Morocco (33%); Bangladesh (33%)
Egypt (34%); Morocco (33%); Bangladesh (33%)
</v>
      </c>
      <c r="G15" s="4">
        <v>369</v>
      </c>
    </row>
    <row r="16" ht="25" customHeight="1">
      <c r="B16" s="9" t="str">
        <v>Contracted partners subtotal</v>
      </c>
      <c r="E16" s="9">
        <v>10009</v>
      </c>
      <c r="F16" s="9" t="str">
        <v/>
      </c>
      <c r="G16" s="9" t="str">
        <v/>
      </c>
    </row>
  </sheetData>
  <mergeCells count="8">
    <mergeCell ref="B6:D6"/>
    <mergeCell ref="A2:A6"/>
    <mergeCell ref="B9:D9"/>
    <mergeCell ref="A7:A9"/>
    <mergeCell ref="B14:D14"/>
    <mergeCell ref="A10:A14"/>
    <mergeCell ref="B16:D16"/>
    <mergeCell ref="A15:A16"/>
  </mergeCells>
  <ignoredErrors>
    <ignoredError numberStoredAsText="1" sqref="A1:G16"/>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IWMI</v>
      </c>
      <c r="B2" s="4" t="str">
        <v>P-1743 SoLAR Phase 2</v>
      </c>
      <c r="C2" s="4" t="str">
        <v xml:space="preserve">HLO 3.3.2: Scaling support services for enabling environment and institutions </v>
      </c>
      <c r="D2" s="5">
        <v>893249</v>
      </c>
      <c r="E2" s="4" t="str">
        <v>As per W3 and Bilateral mapping dashboard</v>
      </c>
      <c r="F2" s="4">
        <v>1164</v>
      </c>
    </row>
    <row r="3" ht="60" customHeight="1">
      <c r="A3" s="4" t="str">
        <v>IWMI</v>
      </c>
      <c r="B3" s="4" t="str">
        <v>W-D-0525- Subsidy Soil Fertility Programme - West Africa</v>
      </c>
      <c r="C3" s="4" t="str">
        <v>HLO 2.2.2: Business models and market-led solutions</v>
      </c>
      <c r="D3" s="5">
        <v>413645</v>
      </c>
      <c r="E3" s="4" t="str">
        <v>As per W3 and Bilateral mapping dashboard</v>
      </c>
      <c r="F3" s="4">
        <v>1148</v>
      </c>
    </row>
    <row r="4" ht="60" customHeight="1">
      <c r="A4" s="4" t="str">
        <v>IWMI</v>
      </c>
      <c r="B4" s="4" t="str">
        <v>W-D-0539 Water and Soil Accelerator</v>
      </c>
      <c r="C4" s="4" t="str">
        <v>HLO 5.5.2: Evidence-based evaluation and dynamic learning insights</v>
      </c>
      <c r="D4" s="5">
        <v>3383110</v>
      </c>
      <c r="E4" s="4" t="str">
        <v>As per W3 and Bilateral mapping dashboard</v>
      </c>
      <c r="F4" s="4">
        <v>1176</v>
      </c>
    </row>
    <row r="5" ht="25" customHeight="1">
      <c r="B5" s="9" t="str">
        <v>W3/Bilateral budget subtotal</v>
      </c>
      <c r="D5" s="9">
        <v>4690004</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IWMI</v>
      </c>
      <c r="C2" s="4" t="str">
        <v>A5P12.6 PoD Name: Dynamic Learning and Adaptive Management Strategy — IWMI S4I Scaling Pathway Engagement</v>
      </c>
      <c r="D2" s="4" t="str">
        <v>1. Farmers adapt and adopt sustainable practices Environmental Health and Biodiversity Climate Adaptation and Mitigation 5. Partners use science for scaling 2. Scaling partners enable access to agrifood solutions Poverty Reduction, Livelihoods and Jobs</v>
      </c>
      <c r="E2" s="4" t="str">
        <v>N/A</v>
      </c>
      <c r="F2" s="5">
        <v>0</v>
      </c>
      <c r="G2" s="4" t="str">
        <v/>
      </c>
      <c r="H2" s="4">
        <v>519</v>
      </c>
    </row>
    <row r="3" ht="25" customHeight="1">
      <c r="C3" s="9" t="str">
        <v>MELIA budget subtotal</v>
      </c>
      <c r="F3" s="9">
        <v>0</v>
      </c>
      <c r="G3" s="9" t="str">
        <v/>
      </c>
      <c r="H3" s="9" t="str">
        <v/>
      </c>
    </row>
    <row r="4" ht="60" customHeight="1">
      <c r="A4" s="8" t="str">
        <v>AOW05: Learning for Impact</v>
      </c>
      <c r="B4" s="4" t="str">
        <v>IWMI</v>
      </c>
      <c r="C4" s="4" t="str">
        <v xml:space="preserve">A5P8.9: PoD name: Dynamic Learning Strategy and Learning Fund for AoW2 Flagships. Lead Center: IWMI. </v>
      </c>
      <c r="D4" s="4" t="str">
        <v>HLO 5.5.1: Scaling science for societal impact</v>
      </c>
      <c r="E4" s="4" t="str">
        <v>N/A</v>
      </c>
      <c r="F4" s="5">
        <v>24844</v>
      </c>
      <c r="G4" s="4" t="str">
        <v>A5P8.9: PoD name: Dynamic Learning Strategy and Learning Fund for AoW2 Flagships. Lead Center: IWMI.</v>
      </c>
      <c r="H4" s="4">
        <v>533</v>
      </c>
    </row>
    <row r="5" ht="60" customHeight="1">
      <c r="A5" s="4" t="str">
        <v>AOW05: Learning for Impact</v>
      </c>
      <c r="B5" s="4" t="str">
        <v>IWMI</v>
      </c>
      <c r="C5" s="4" t="str">
        <v>A5P12.6 PoD Name: Dynamic Learning and Adaptive Management Strategy — IWMI S4I Scaling Pathway Engagement</v>
      </c>
      <c r="D5" s="4" t="str">
        <v>1. Farmers adapt and adopt sustainable practices Environmental Health and Biodiversity Climate Adaptation and Mitigation 5. Partners use science for scaling 2. Scaling partners enable access to agrifood solutions Poverty Reduction, Livelihoods and Jobs</v>
      </c>
      <c r="E5" s="4" t="str">
        <v>N/A</v>
      </c>
      <c r="F5" s="5">
        <v>10000</v>
      </c>
      <c r="G5" s="4" t="str">
        <v xml:space="preserve"> A5P12.6 PoD Name: Dynamic Learning and Adaptive Management Strategy — IWMI S4I Scaling Pathway Engagement</v>
      </c>
      <c r="H5" s="4">
        <v>534</v>
      </c>
    </row>
    <row r="6" ht="25" customHeight="1">
      <c r="C6" s="9" t="str">
        <v>MELIA budget subtotal</v>
      </c>
      <c r="F6" s="9">
        <v>34844</v>
      </c>
      <c r="G6" s="9" t="str">
        <v/>
      </c>
      <c r="H6" s="9" t="str">
        <v/>
      </c>
    </row>
  </sheetData>
  <mergeCells count="4">
    <mergeCell ref="C3:E3"/>
    <mergeCell ref="A2:A3"/>
    <mergeCell ref="C6:E6"/>
    <mergeCell ref="A4:A6"/>
  </mergeCells>
  <ignoredErrors>
    <ignoredError numberStoredAsText="1" sqref="A1:H6"/>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IWMI</v>
      </c>
      <c r="C2" s="4" t="str">
        <v>Area of Work Leads</v>
      </c>
      <c r="D2" s="5">
        <v>116897</v>
      </c>
      <c r="E2" s="4" t="str" xml:space="preserve">
        <v xml:space="preserve">Covers two components of Area of Work leadership costs for 2026. First, Q1 2026 transitional FTE costs for 2 AoW leaders at the standard rate of $6,000 per leader ($12,000 total). Second, the FTE cost of the AoW 3 Lead for the remaining three quarters (Q2–Q4, April–December 2026), amounting to $118,477, reflecting the full employment cost of this position apportioned to the programme for the balance of the year.
</v>
      </c>
      <c r="F2" s="4">
        <v>193</v>
      </c>
      <c r="G2" s="4">
        <v>3</v>
      </c>
    </row>
    <row r="3" ht="45" customHeight="1">
      <c r="A3" s="4" t="str">
        <v>AOW00: Cross Cutting</v>
      </c>
      <c r="B3" s="4" t="str">
        <v>IWMI</v>
      </c>
      <c r="C3" s="4" t="str">
        <v>Operations</v>
      </c>
      <c r="D3" s="5">
        <v>200</v>
      </c>
      <c r="E3" s="4" t="str">
        <v>Woodrow Consultancy — Additional Interview Costs ($200): Covers supplementary interview-related expenses incurred by Woodrow Consultancy firm beyond the originally scoped engagement, including costs such as interview logistics, transcription, or participant-related expenses.</v>
      </c>
      <c r="F3" s="4">
        <v>194</v>
      </c>
      <c r="G3" s="4">
        <v>4</v>
      </c>
    </row>
    <row r="4" ht="45" customHeight="1">
      <c r="A4" s="4" t="str">
        <v>AOW00: Cross Cutting</v>
      </c>
      <c r="B4" s="4" t="str">
        <v>IWMI</v>
      </c>
      <c r="C4" s="4" t="str">
        <v>PMU, CGIAR Program Finance Support and associated Allocation</v>
      </c>
      <c r="D4" s="5">
        <v>45526</v>
      </c>
      <c r="E4" s="4" t="str">
        <v>Program Coordination Support — AFSF, Scaling Week &amp; Scaling Hub ($45,526): Covers program coordination staff costs associated with three major program activities: (i) the Africa Food Systems Forum (AFSF), a flagship continental convening requiring dedicated coordination support for logistics, partner engagement, and program representation; (ii) Scaling Week, a focused event supporting knowledge exchange and scaling dialogue; and (iii) the Scaling Hub, covering ongoing coordination support for hub operations and engagement.</v>
      </c>
      <c r="F4" s="4">
        <v>195</v>
      </c>
      <c r="G4" s="4">
        <v>2</v>
      </c>
    </row>
    <row r="5" ht="25" customHeight="1">
      <c r="C5" s="9" t="str">
        <v>Cross-cutting budget subtotal</v>
      </c>
      <c r="D5" s="9">
        <v>162623</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162623</v>
      </c>
      <c r="C2" s="5">
        <v>586584</v>
      </c>
      <c r="D2" s="5">
        <v>323122</v>
      </c>
      <c r="E2" s="5">
        <v>874211</v>
      </c>
      <c r="F2" s="5">
        <v>182548</v>
      </c>
      <c r="G2" s="5">
        <v>142592</v>
      </c>
      <c r="H2" s="5">
        <f>=SUM(B2:G2)</f>
        <v>0</v>
      </c>
    </row>
    <row r="3" ht="20" customHeight="1">
      <c r="A3" s="4" t="str">
        <v>Operations (supplies, consultants, travels, workshops, other)</v>
      </c>
      <c r="B3" s="5">
        <v>0</v>
      </c>
      <c r="C3" s="5">
        <v>231464</v>
      </c>
      <c r="D3" s="5">
        <v>140437</v>
      </c>
      <c r="E3" s="5">
        <v>294932</v>
      </c>
      <c r="F3" s="5">
        <v>65701</v>
      </c>
      <c r="G3" s="5">
        <v>43408</v>
      </c>
      <c r="H3" s="5">
        <f>=SUM(B3:G3)</f>
        <v>0</v>
      </c>
    </row>
    <row r="4" ht="20" customHeight="1">
      <c r="A4" s="4" t="str">
        <v>Collaborators non-CGIAR centers</v>
      </c>
      <c r="B4" s="5">
        <v>0</v>
      </c>
      <c r="C4" s="5">
        <v>55098</v>
      </c>
      <c r="D4" s="5">
        <v>48500</v>
      </c>
      <c r="E4" s="5">
        <v>366000</v>
      </c>
      <c r="F4" s="5">
        <v>10009</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4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Kenya</v>
      </c>
      <c r="D2" s="5">
        <v>100</v>
      </c>
      <c r="E2" s="4">
        <v>2669</v>
      </c>
    </row>
    <row r="3" ht="45" customHeight="1">
      <c r="A3" s="8" t="str">
        <v>AOW01: Engage and Empower</v>
      </c>
      <c r="B3" s="4" t="str">
        <v>IWMI</v>
      </c>
      <c r="C3" s="4" t="str">
        <v>Bangladesh</v>
      </c>
      <c r="D3" s="5">
        <v>17.67</v>
      </c>
      <c r="E3" s="4">
        <v>102</v>
      </c>
    </row>
    <row r="4" ht="45" customHeight="1">
      <c r="A4" s="4" t="str">
        <v>AOW01: Engage and Empower</v>
      </c>
      <c r="B4" s="4" t="str">
        <v>IWMI</v>
      </c>
      <c r="C4" s="4" t="str">
        <v>Colombia</v>
      </c>
      <c r="D4" s="5">
        <v>0.65</v>
      </c>
      <c r="E4" s="4">
        <v>108</v>
      </c>
    </row>
    <row r="5" ht="45" customHeight="1">
      <c r="A5" s="4" t="str">
        <v>AOW01: Engage and Empower</v>
      </c>
      <c r="B5" s="4" t="str">
        <v>IWMI</v>
      </c>
      <c r="C5" s="4" t="str">
        <v>Ethiopia</v>
      </c>
      <c r="D5" s="5">
        <v>2.46</v>
      </c>
      <c r="E5" s="4">
        <v>104</v>
      </c>
    </row>
    <row r="6" ht="45" customHeight="1">
      <c r="A6" s="4" t="str">
        <v>AOW01: Engage and Empower</v>
      </c>
      <c r="B6" s="4" t="str">
        <v>IWMI</v>
      </c>
      <c r="C6" s="4" t="str">
        <v>India</v>
      </c>
      <c r="D6" s="5">
        <v>2.79</v>
      </c>
      <c r="E6" s="4">
        <v>106</v>
      </c>
    </row>
    <row r="7" ht="45" customHeight="1">
      <c r="A7" s="4" t="str">
        <v>AOW01: Engage and Empower</v>
      </c>
      <c r="B7" s="4" t="str">
        <v>IWMI</v>
      </c>
      <c r="C7" s="4" t="str">
        <v>Kenya</v>
      </c>
      <c r="D7" s="5">
        <v>13.8</v>
      </c>
      <c r="E7" s="4">
        <v>105</v>
      </c>
    </row>
    <row r="8" ht="45" customHeight="1">
      <c r="A8" s="4" t="str">
        <v>AOW01: Engage and Empower</v>
      </c>
      <c r="B8" s="4" t="str">
        <v>IWMI</v>
      </c>
      <c r="C8" s="4" t="str">
        <v>Nepal</v>
      </c>
      <c r="D8" s="5">
        <v>8.57</v>
      </c>
      <c r="E8" s="4">
        <v>107</v>
      </c>
    </row>
    <row r="9" ht="45" customHeight="1">
      <c r="A9" s="4" t="str">
        <v>AOW01: Engage and Empower</v>
      </c>
      <c r="B9" s="4" t="str">
        <v>IWMI</v>
      </c>
      <c r="C9" s="4" t="str">
        <v>Nigeria</v>
      </c>
      <c r="D9" s="5">
        <v>54.06</v>
      </c>
      <c r="E9" s="4">
        <v>103</v>
      </c>
    </row>
    <row r="10" ht="45" customHeight="1">
      <c r="A10" s="8" t="str">
        <v>AOW02: Grand Challenges and Scaling Flagships</v>
      </c>
      <c r="B10" s="4" t="str">
        <v>IWMI</v>
      </c>
      <c r="C10" s="4" t="str">
        <v>Bangladesh</v>
      </c>
      <c r="D10" s="5">
        <v>10.71</v>
      </c>
      <c r="E10" s="4">
        <v>3088</v>
      </c>
    </row>
    <row r="11" ht="45" customHeight="1">
      <c r="A11" s="4" t="str">
        <v>AOW02: Grand Challenges and Scaling Flagships</v>
      </c>
      <c r="B11" s="4" t="str">
        <v>IWMI</v>
      </c>
      <c r="C11" s="4" t="str">
        <v>Colombia</v>
      </c>
      <c r="D11" s="5">
        <v>8.93</v>
      </c>
      <c r="E11" s="4">
        <v>3094</v>
      </c>
    </row>
    <row r="12" ht="45" customHeight="1">
      <c r="A12" s="4" t="str">
        <v>AOW02: Grand Challenges and Scaling Flagships</v>
      </c>
      <c r="B12" s="4" t="str">
        <v>IWMI</v>
      </c>
      <c r="C12" s="4" t="str">
        <v>Ethiopia</v>
      </c>
      <c r="D12" s="5">
        <v>10.71</v>
      </c>
      <c r="E12" s="4">
        <v>3092</v>
      </c>
    </row>
    <row r="13" ht="45" customHeight="1">
      <c r="A13" s="4" t="str">
        <v>AOW02: Grand Challenges and Scaling Flagships</v>
      </c>
      <c r="B13" s="4" t="str">
        <v>IWMI</v>
      </c>
      <c r="C13" s="4" t="str">
        <v>Guatemala</v>
      </c>
      <c r="D13" s="5">
        <v>8.93</v>
      </c>
      <c r="E13" s="4">
        <v>3093</v>
      </c>
    </row>
    <row r="14" ht="45" customHeight="1">
      <c r="A14" s="4" t="str">
        <v>AOW02: Grand Challenges and Scaling Flagships</v>
      </c>
      <c r="B14" s="4" t="str">
        <v>IWMI</v>
      </c>
      <c r="C14" s="4" t="str">
        <v>India</v>
      </c>
      <c r="D14" s="5">
        <v>10.71</v>
      </c>
      <c r="E14" s="4">
        <v>3089</v>
      </c>
    </row>
    <row r="15" ht="45" customHeight="1">
      <c r="A15" s="4" t="str">
        <v>AOW02: Grand Challenges and Scaling Flagships</v>
      </c>
      <c r="B15" s="4" t="str">
        <v>IWMI</v>
      </c>
      <c r="C15" s="4" t="str">
        <v>Kenya</v>
      </c>
      <c r="D15" s="5">
        <v>10.71</v>
      </c>
      <c r="E15" s="4">
        <v>3090</v>
      </c>
    </row>
    <row r="16" ht="45" customHeight="1">
      <c r="A16" s="4" t="str">
        <v>AOW02: Grand Challenges and Scaling Flagships</v>
      </c>
      <c r="B16" s="4" t="str">
        <v>IWMI</v>
      </c>
      <c r="C16" s="4" t="str">
        <v>Malawi</v>
      </c>
      <c r="D16" s="5">
        <v>3.93</v>
      </c>
      <c r="E16" s="4">
        <v>3087</v>
      </c>
    </row>
    <row r="17" ht="45" customHeight="1">
      <c r="A17" s="4" t="str">
        <v>AOW02: Grand Challenges and Scaling Flagships</v>
      </c>
      <c r="B17" s="4" t="str">
        <v>IWMI</v>
      </c>
      <c r="C17" s="4" t="str">
        <v>Nepal</v>
      </c>
      <c r="D17" s="5">
        <v>15.86</v>
      </c>
      <c r="E17" s="4">
        <v>3085</v>
      </c>
    </row>
    <row r="18" ht="45" customHeight="1">
      <c r="A18" s="4" t="str">
        <v>AOW02: Grand Challenges and Scaling Flagships</v>
      </c>
      <c r="B18" s="4" t="str">
        <v>IWMI</v>
      </c>
      <c r="C18" s="4" t="str">
        <v>Nigeria</v>
      </c>
      <c r="D18" s="5">
        <v>10.71</v>
      </c>
      <c r="E18" s="4">
        <v>3091</v>
      </c>
    </row>
    <row r="19" ht="45" customHeight="1">
      <c r="A19" s="4" t="str">
        <v>AOW02: Grand Challenges and Scaling Flagships</v>
      </c>
      <c r="B19" s="4" t="str">
        <v>IWMI</v>
      </c>
      <c r="C19" s="4" t="str">
        <v>Zambia</v>
      </c>
      <c r="D19" s="5">
        <v>6.79</v>
      </c>
      <c r="E19" s="4">
        <v>3086</v>
      </c>
    </row>
    <row r="20" ht="45" customHeight="1">
      <c r="A20" s="4" t="str">
        <v>AOW02: Grand Challenges and Scaling Flagships</v>
      </c>
      <c r="B20" s="4" t="str">
        <v>IWMI</v>
      </c>
      <c r="C20" s="4" t="str">
        <v>Zimbabwe</v>
      </c>
      <c r="D20" s="5">
        <v>2.01</v>
      </c>
      <c r="E20" s="4">
        <v>3095</v>
      </c>
    </row>
    <row r="21" ht="45" customHeight="1">
      <c r="A21" s="8" t="str">
        <v>AOW03: Enabling Environment Lab</v>
      </c>
      <c r="B21" s="4" t="str">
        <v>IWMI</v>
      </c>
      <c r="C21" s="4" t="str">
        <v>Bangladesh</v>
      </c>
      <c r="D21" s="5">
        <v>6</v>
      </c>
      <c r="E21" s="4">
        <v>1237</v>
      </c>
    </row>
    <row r="22" ht="45" customHeight="1">
      <c r="A22" s="4" t="str">
        <v>AOW03: Enabling Environment Lab</v>
      </c>
      <c r="B22" s="4" t="str">
        <v>IWMI</v>
      </c>
      <c r="C22" s="4" t="str">
        <v>Cambodia</v>
      </c>
      <c r="D22" s="5">
        <v>8</v>
      </c>
      <c r="E22" s="4">
        <v>1240</v>
      </c>
    </row>
    <row r="23" ht="45" customHeight="1">
      <c r="A23" s="4" t="str">
        <v>AOW03: Enabling Environment Lab</v>
      </c>
      <c r="B23" s="4" t="str">
        <v>IWMI</v>
      </c>
      <c r="C23" s="4" t="str">
        <v>Colombia</v>
      </c>
      <c r="D23" s="5">
        <v>2</v>
      </c>
      <c r="E23" s="4">
        <v>1239</v>
      </c>
    </row>
    <row r="24" ht="45" customHeight="1">
      <c r="A24" s="4" t="str">
        <v>AOW03: Enabling Environment Lab</v>
      </c>
      <c r="B24" s="4" t="str">
        <v>IWMI</v>
      </c>
      <c r="C24" s="4" t="str">
        <v>Egypt</v>
      </c>
      <c r="D24" s="5">
        <v>1</v>
      </c>
      <c r="E24" s="4">
        <v>1238</v>
      </c>
    </row>
    <row r="25" ht="45" customHeight="1">
      <c r="A25" s="4" t="str">
        <v>AOW03: Enabling Environment Lab</v>
      </c>
      <c r="B25" s="4" t="str">
        <v>IWMI</v>
      </c>
      <c r="C25" s="4" t="str">
        <v>Ethiopia</v>
      </c>
      <c r="D25" s="5">
        <v>22</v>
      </c>
      <c r="E25" s="4">
        <v>1231</v>
      </c>
    </row>
    <row r="26" ht="45" customHeight="1">
      <c r="A26" s="4" t="str">
        <v>AOW03: Enabling Environment Lab</v>
      </c>
      <c r="B26" s="4" t="str">
        <v>IWMI</v>
      </c>
      <c r="C26" s="4" t="str">
        <v>Kenya</v>
      </c>
      <c r="D26" s="5">
        <v>26</v>
      </c>
      <c r="E26" s="4">
        <v>1232</v>
      </c>
    </row>
    <row r="27" ht="45" customHeight="1">
      <c r="A27" s="4" t="str">
        <v>AOW03: Enabling Environment Lab</v>
      </c>
      <c r="B27" s="4" t="str">
        <v>IWMI</v>
      </c>
      <c r="C27" s="4" t="str">
        <v>Malawi</v>
      </c>
      <c r="D27" s="5">
        <v>3</v>
      </c>
      <c r="E27" s="4">
        <v>1233</v>
      </c>
    </row>
    <row r="28" ht="45" customHeight="1">
      <c r="A28" s="4" t="str">
        <v>AOW03: Enabling Environment Lab</v>
      </c>
      <c r="B28" s="4" t="str">
        <v>IWMI</v>
      </c>
      <c r="C28" s="4" t="str">
        <v>Morocco</v>
      </c>
      <c r="D28" s="5">
        <v>4</v>
      </c>
      <c r="E28" s="4">
        <v>1241</v>
      </c>
    </row>
    <row r="29" ht="45" customHeight="1">
      <c r="A29" s="4" t="str">
        <v>AOW03: Enabling Environment Lab</v>
      </c>
      <c r="B29" s="4" t="str">
        <v>IWMI</v>
      </c>
      <c r="C29" s="4" t="str">
        <v>Nigeria</v>
      </c>
      <c r="D29" s="5">
        <v>10</v>
      </c>
      <c r="E29" s="4">
        <v>1234</v>
      </c>
    </row>
    <row r="30" ht="45" customHeight="1">
      <c r="A30" s="4" t="str">
        <v>AOW03: Enabling Environment Lab</v>
      </c>
      <c r="B30" s="4" t="str">
        <v>IWMI</v>
      </c>
      <c r="C30" s="4" t="str">
        <v>Pakistan</v>
      </c>
      <c r="D30" s="5">
        <v>1</v>
      </c>
      <c r="E30" s="4">
        <v>1236</v>
      </c>
    </row>
    <row r="31" ht="45" customHeight="1">
      <c r="A31" s="4" t="str">
        <v>AOW03: Enabling Environment Lab</v>
      </c>
      <c r="B31" s="4" t="str">
        <v>IWMI</v>
      </c>
      <c r="C31" s="4" t="str">
        <v>Zambia</v>
      </c>
      <c r="D31" s="5">
        <v>17</v>
      </c>
      <c r="E31" s="4">
        <v>1235</v>
      </c>
    </row>
    <row r="32" ht="45" customHeight="1">
      <c r="A32" s="8" t="str">
        <v>AOW04: Achieving Impact by Unlocking Finance and Partnerships</v>
      </c>
      <c r="B32" s="4" t="str">
        <v>IWMI</v>
      </c>
      <c r="C32" s="4" t="str">
        <v>Bangladesh</v>
      </c>
      <c r="D32" s="5">
        <v>23</v>
      </c>
      <c r="E32" s="4">
        <v>1772</v>
      </c>
    </row>
    <row r="33" ht="45" customHeight="1">
      <c r="A33" s="4" t="str">
        <v>AOW04: Achieving Impact by Unlocking Finance and Partnerships</v>
      </c>
      <c r="B33" s="4" t="str">
        <v>IWMI</v>
      </c>
      <c r="C33" s="4" t="str">
        <v>Egypt</v>
      </c>
      <c r="D33" s="5">
        <v>20</v>
      </c>
      <c r="E33" s="4">
        <v>1770</v>
      </c>
    </row>
    <row r="34" ht="45" customHeight="1">
      <c r="A34" s="4" t="str">
        <v>AOW04: Achieving Impact by Unlocking Finance and Partnerships</v>
      </c>
      <c r="B34" s="4" t="str">
        <v>IWMI</v>
      </c>
      <c r="C34" s="4" t="str">
        <v>India</v>
      </c>
      <c r="D34" s="5">
        <v>7</v>
      </c>
      <c r="E34" s="4">
        <v>1773</v>
      </c>
    </row>
    <row r="35" ht="45" customHeight="1">
      <c r="A35" s="4" t="str">
        <v>AOW04: Achieving Impact by Unlocking Finance and Partnerships</v>
      </c>
      <c r="B35" s="4" t="str">
        <v>IWMI</v>
      </c>
      <c r="C35" s="4" t="str">
        <v>Kenya</v>
      </c>
      <c r="D35" s="5">
        <v>19</v>
      </c>
      <c r="E35" s="4">
        <v>1769</v>
      </c>
    </row>
    <row r="36" ht="45" customHeight="1">
      <c r="A36" s="4" t="str">
        <v>AOW04: Achieving Impact by Unlocking Finance and Partnerships</v>
      </c>
      <c r="B36" s="4" t="str">
        <v>IWMI</v>
      </c>
      <c r="C36" s="4" t="str">
        <v>Morocco</v>
      </c>
      <c r="D36" s="5">
        <v>24</v>
      </c>
      <c r="E36" s="4">
        <v>1774</v>
      </c>
    </row>
    <row r="37" ht="45" customHeight="1">
      <c r="A37" s="4" t="str">
        <v>AOW04: Achieving Impact by Unlocking Finance and Partnerships</v>
      </c>
      <c r="B37" s="4" t="str">
        <v>IWMI</v>
      </c>
      <c r="C37" s="4" t="str">
        <v>Zambia</v>
      </c>
      <c r="D37" s="5">
        <v>7</v>
      </c>
      <c r="E37" s="4">
        <v>1771</v>
      </c>
    </row>
    <row r="38" ht="45" customHeight="1">
      <c r="A38" s="8" t="str">
        <v>AOW05: Learning for Impact</v>
      </c>
      <c r="B38" s="4" t="str">
        <v>IWMI</v>
      </c>
      <c r="C38" s="4" t="str">
        <v>Bangladesh</v>
      </c>
      <c r="D38" s="5">
        <v>13.1</v>
      </c>
      <c r="E38" s="4">
        <v>1619</v>
      </c>
    </row>
    <row r="39" ht="45" customHeight="1">
      <c r="A39" s="4" t="str">
        <v>AOW05: Learning for Impact</v>
      </c>
      <c r="B39" s="4" t="str">
        <v>IWMI</v>
      </c>
      <c r="C39" s="4" t="str">
        <v>Ethiopia</v>
      </c>
      <c r="D39" s="5">
        <v>22</v>
      </c>
      <c r="E39" s="4">
        <v>1618</v>
      </c>
    </row>
    <row r="40" ht="45" customHeight="1">
      <c r="A40" s="4" t="str">
        <v>AOW05: Learning for Impact</v>
      </c>
      <c r="B40" s="4" t="str">
        <v>IWMI</v>
      </c>
      <c r="C40" s="4" t="str">
        <v>India</v>
      </c>
      <c r="D40" s="5">
        <v>13</v>
      </c>
      <c r="E40" s="4">
        <v>1620</v>
      </c>
    </row>
    <row r="41" ht="45" customHeight="1">
      <c r="A41" s="4" t="str">
        <v>AOW05: Learning for Impact</v>
      </c>
      <c r="B41" s="4" t="str">
        <v>IWMI</v>
      </c>
      <c r="C41" s="4" t="str">
        <v>Kenya</v>
      </c>
      <c r="D41" s="5">
        <v>1.5</v>
      </c>
      <c r="E41" s="4">
        <v>3236</v>
      </c>
    </row>
    <row r="42" ht="45" customHeight="1">
      <c r="A42" s="4" t="str">
        <v>AOW05: Learning for Impact</v>
      </c>
      <c r="B42" s="4" t="str">
        <v>IWMI</v>
      </c>
      <c r="C42" s="4" t="str">
        <v>Nepal</v>
      </c>
      <c r="D42" s="5">
        <v>44</v>
      </c>
      <c r="E42" s="4">
        <v>1617</v>
      </c>
    </row>
    <row r="43" ht="45" customHeight="1">
      <c r="A43" s="4" t="str">
        <v>AOW05: Learning for Impact</v>
      </c>
      <c r="B43" s="4" t="str">
        <v>IWMI</v>
      </c>
      <c r="C43" s="4" t="str">
        <v>Nigeria</v>
      </c>
      <c r="D43" s="5">
        <v>2.4</v>
      </c>
      <c r="E43" s="4">
        <v>3235</v>
      </c>
    </row>
    <row r="44" ht="45" customHeight="1">
      <c r="A44" s="4" t="str">
        <v>AOW05: Learning for Impact</v>
      </c>
      <c r="B44" s="4" t="str">
        <v>IWMI</v>
      </c>
      <c r="C44" s="4" t="str">
        <v>Zambia</v>
      </c>
      <c r="D44" s="5">
        <v>4</v>
      </c>
      <c r="E44" s="4">
        <v>1621</v>
      </c>
    </row>
  </sheetData>
  <mergeCells count="6">
    <mergeCell ref="A2"/>
    <mergeCell ref="A3:A9"/>
    <mergeCell ref="A10:A20"/>
    <mergeCell ref="A21:A31"/>
    <mergeCell ref="A32:A37"/>
    <mergeCell ref="A38:A44"/>
  </mergeCells>
  <ignoredErrors>
    <ignoredError numberStoredAsText="1" sqref="A1:E44"/>
  </ignoredErrors>
</worksheet>
</file>

<file path=xl/worksheets/sheet9.xml><?xml version="1.0" encoding="utf-8"?>
<worksheet xmlns="http://schemas.openxmlformats.org/spreadsheetml/2006/main" xmlns:r="http://schemas.openxmlformats.org/officeDocument/2006/relationships">
  <dimension ref="A1:F3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Global</v>
      </c>
      <c r="D2" s="4" t="str">
        <v>global</v>
      </c>
      <c r="E2" s="5">
        <v>100</v>
      </c>
      <c r="F2" s="4">
        <v>1</v>
      </c>
    </row>
    <row r="3" ht="45" customHeight="1">
      <c r="A3" s="8" t="str">
        <v>AOW01: Engage and Empower</v>
      </c>
      <c r="B3" s="4" t="str">
        <v>IWMI</v>
      </c>
      <c r="C3" s="4" t="str">
        <v>Global</v>
      </c>
      <c r="D3" s="4" t="str">
        <v>global</v>
      </c>
      <c r="E3" s="5">
        <v>0</v>
      </c>
      <c r="F3" s="4">
        <v>115</v>
      </c>
    </row>
    <row r="4" ht="45" customHeight="1">
      <c r="A4" s="4" t="str">
        <v>AOW01: Engage and Empower</v>
      </c>
      <c r="B4" s="4" t="str">
        <v>IWMI</v>
      </c>
      <c r="C4" s="4" t="str">
        <v>Bangladesh</v>
      </c>
      <c r="D4" s="4" t="str">
        <v>country</v>
      </c>
      <c r="E4" s="5">
        <v>17.67</v>
      </c>
      <c r="F4" s="4">
        <v>108</v>
      </c>
    </row>
    <row r="5" ht="45" customHeight="1">
      <c r="A5" s="4" t="str">
        <v>AOW01: Engage and Empower</v>
      </c>
      <c r="B5" s="4" t="str">
        <v>IWMI</v>
      </c>
      <c r="C5" s="4" t="str">
        <v>Colombia</v>
      </c>
      <c r="D5" s="4" t="str">
        <v>country</v>
      </c>
      <c r="E5" s="5">
        <v>0.65</v>
      </c>
      <c r="F5" s="4">
        <v>109</v>
      </c>
    </row>
    <row r="6" ht="45" customHeight="1">
      <c r="A6" s="4" t="str">
        <v>AOW01: Engage and Empower</v>
      </c>
      <c r="B6" s="4" t="str">
        <v>IWMI</v>
      </c>
      <c r="C6" s="4" t="str">
        <v>Ethiopia</v>
      </c>
      <c r="D6" s="4" t="str">
        <v>country</v>
      </c>
      <c r="E6" s="5">
        <v>2.46</v>
      </c>
      <c r="F6" s="4">
        <v>110</v>
      </c>
    </row>
    <row r="7" ht="45" customHeight="1">
      <c r="A7" s="4" t="str">
        <v>AOW01: Engage and Empower</v>
      </c>
      <c r="B7" s="4" t="str">
        <v>IWMI</v>
      </c>
      <c r="C7" s="4" t="str">
        <v>India</v>
      </c>
      <c r="D7" s="4" t="str">
        <v>country</v>
      </c>
      <c r="E7" s="5">
        <v>2.79</v>
      </c>
      <c r="F7" s="4">
        <v>111</v>
      </c>
    </row>
    <row r="8" ht="45" customHeight="1">
      <c r="A8" s="4" t="str">
        <v>AOW01: Engage and Empower</v>
      </c>
      <c r="B8" s="4" t="str">
        <v>IWMI</v>
      </c>
      <c r="C8" s="4" t="str">
        <v>Kenya</v>
      </c>
      <c r="D8" s="4" t="str">
        <v>country</v>
      </c>
      <c r="E8" s="5">
        <v>13.8</v>
      </c>
      <c r="F8" s="4">
        <v>112</v>
      </c>
    </row>
    <row r="9" ht="45" customHeight="1">
      <c r="A9" s="4" t="str">
        <v>AOW01: Engage and Empower</v>
      </c>
      <c r="B9" s="4" t="str">
        <v>IWMI</v>
      </c>
      <c r="C9" s="4" t="str">
        <v>Nepal</v>
      </c>
      <c r="D9" s="4" t="str">
        <v>country</v>
      </c>
      <c r="E9" s="5">
        <v>8.57</v>
      </c>
      <c r="F9" s="4">
        <v>113</v>
      </c>
    </row>
    <row r="10" ht="45" customHeight="1">
      <c r="A10" s="4" t="str">
        <v>AOW01: Engage and Empower</v>
      </c>
      <c r="B10" s="4" t="str">
        <v>IWMI</v>
      </c>
      <c r="C10" s="4" t="str">
        <v>Nigeria</v>
      </c>
      <c r="D10" s="4" t="str">
        <v>country</v>
      </c>
      <c r="E10" s="5">
        <v>54.06</v>
      </c>
      <c r="F10" s="4">
        <v>114</v>
      </c>
    </row>
    <row r="11" ht="45" customHeight="1">
      <c r="A11" s="8" t="str">
        <v>AOW02: Grand Challenges and Scaling Flagships</v>
      </c>
      <c r="B11" s="4" t="str">
        <v>IWMI</v>
      </c>
      <c r="C11" s="4" t="str">
        <v>Global</v>
      </c>
      <c r="D11" s="4" t="str">
        <v>global</v>
      </c>
      <c r="E11" s="5">
        <v>0</v>
      </c>
      <c r="F11" s="4">
        <v>2</v>
      </c>
    </row>
    <row r="12" ht="45" customHeight="1">
      <c r="A12" s="4" t="str">
        <v>AOW02: Grand Challenges and Scaling Flagships</v>
      </c>
      <c r="B12" s="4" t="str">
        <v>IWMI</v>
      </c>
      <c r="C12" s="4" t="str">
        <v>Bangladesh</v>
      </c>
      <c r="D12" s="4" t="str">
        <v>country</v>
      </c>
      <c r="E12" s="5">
        <v>10.71</v>
      </c>
      <c r="F12" s="4">
        <v>1229</v>
      </c>
    </row>
    <row r="13" ht="45" customHeight="1">
      <c r="A13" s="4" t="str">
        <v>AOW02: Grand Challenges and Scaling Flagships</v>
      </c>
      <c r="B13" s="4" t="str">
        <v>IWMI</v>
      </c>
      <c r="C13" s="4" t="str">
        <v>Colombia</v>
      </c>
      <c r="D13" s="4" t="str">
        <v>country</v>
      </c>
      <c r="E13" s="5">
        <v>8.93</v>
      </c>
      <c r="F13" s="4">
        <v>1239</v>
      </c>
    </row>
    <row r="14" ht="45" customHeight="1">
      <c r="A14" s="4" t="str">
        <v>AOW02: Grand Challenges and Scaling Flagships</v>
      </c>
      <c r="B14" s="4" t="str">
        <v>IWMI</v>
      </c>
      <c r="C14" s="4" t="str">
        <v>Ethiopia</v>
      </c>
      <c r="D14" s="4" t="str">
        <v>country</v>
      </c>
      <c r="E14" s="5">
        <v>10.71</v>
      </c>
      <c r="F14" s="4">
        <v>1230</v>
      </c>
    </row>
    <row r="15" ht="45" customHeight="1">
      <c r="A15" s="4" t="str">
        <v>AOW02: Grand Challenges and Scaling Flagships</v>
      </c>
      <c r="B15" s="4" t="str">
        <v>IWMI</v>
      </c>
      <c r="C15" s="4" t="str">
        <v>Guatemala</v>
      </c>
      <c r="D15" s="4" t="str">
        <v>country</v>
      </c>
      <c r="E15" s="5">
        <v>8.93</v>
      </c>
      <c r="F15" s="4">
        <v>1233</v>
      </c>
    </row>
    <row r="16" ht="45" customHeight="1">
      <c r="A16" s="4" t="str">
        <v>AOW02: Grand Challenges and Scaling Flagships</v>
      </c>
      <c r="B16" s="4" t="str">
        <v>IWMI</v>
      </c>
      <c r="C16" s="4" t="str">
        <v>India</v>
      </c>
      <c r="D16" s="4" t="str">
        <v>country</v>
      </c>
      <c r="E16" s="5">
        <v>10.71</v>
      </c>
      <c r="F16" s="4">
        <v>1235</v>
      </c>
    </row>
    <row r="17" ht="45" customHeight="1">
      <c r="A17" s="4" t="str">
        <v>AOW02: Grand Challenges and Scaling Flagships</v>
      </c>
      <c r="B17" s="4" t="str">
        <v>IWMI</v>
      </c>
      <c r="C17" s="4" t="str">
        <v>Kenya</v>
      </c>
      <c r="D17" s="4" t="str">
        <v>country</v>
      </c>
      <c r="E17" s="5">
        <v>10.71</v>
      </c>
      <c r="F17" s="4">
        <v>1231</v>
      </c>
    </row>
    <row r="18" ht="45" customHeight="1">
      <c r="A18" s="4" t="str">
        <v>AOW02: Grand Challenges and Scaling Flagships</v>
      </c>
      <c r="B18" s="4" t="str">
        <v>IWMI</v>
      </c>
      <c r="C18" s="4" t="str">
        <v>Malawi</v>
      </c>
      <c r="D18" s="4" t="str">
        <v>country</v>
      </c>
      <c r="E18" s="5">
        <v>3.93</v>
      </c>
      <c r="F18" s="4">
        <v>1232</v>
      </c>
    </row>
    <row r="19" ht="45" customHeight="1">
      <c r="A19" s="4" t="str">
        <v>AOW02: Grand Challenges and Scaling Flagships</v>
      </c>
      <c r="B19" s="4" t="str">
        <v>IWMI</v>
      </c>
      <c r="C19" s="4" t="str">
        <v>Nepal</v>
      </c>
      <c r="D19" s="4" t="str">
        <v>country</v>
      </c>
      <c r="E19" s="5">
        <v>15.86</v>
      </c>
      <c r="F19" s="4">
        <v>1236</v>
      </c>
    </row>
    <row r="20" ht="45" customHeight="1">
      <c r="A20" s="4" t="str">
        <v>AOW02: Grand Challenges and Scaling Flagships</v>
      </c>
      <c r="B20" s="4" t="str">
        <v>IWMI</v>
      </c>
      <c r="C20" s="4" t="str">
        <v>Nigeria</v>
      </c>
      <c r="D20" s="4" t="str">
        <v>country</v>
      </c>
      <c r="E20" s="5">
        <v>10.71</v>
      </c>
      <c r="F20" s="4">
        <v>1237</v>
      </c>
    </row>
    <row r="21" ht="45" customHeight="1">
      <c r="A21" s="4" t="str">
        <v>AOW02: Grand Challenges and Scaling Flagships</v>
      </c>
      <c r="B21" s="4" t="str">
        <v>IWMI</v>
      </c>
      <c r="C21" s="4" t="str">
        <v>Zambia</v>
      </c>
      <c r="D21" s="4" t="str">
        <v>country</v>
      </c>
      <c r="E21" s="5">
        <v>6.79</v>
      </c>
      <c r="F21" s="4">
        <v>1234</v>
      </c>
    </row>
    <row r="22" ht="45" customHeight="1">
      <c r="A22" s="4" t="str">
        <v>AOW02: Grand Challenges and Scaling Flagships</v>
      </c>
      <c r="B22" s="4" t="str">
        <v>IWMI</v>
      </c>
      <c r="C22" s="4" t="str">
        <v>Zimbabwe</v>
      </c>
      <c r="D22" s="4" t="str">
        <v>country</v>
      </c>
      <c r="E22" s="5">
        <v>2.01</v>
      </c>
      <c r="F22" s="4">
        <v>1238</v>
      </c>
    </row>
    <row r="23" ht="45" customHeight="1">
      <c r="A23" s="8" t="str">
        <v>AOW03: Enabling Environment Lab</v>
      </c>
      <c r="B23" s="4" t="str">
        <v>IWMI</v>
      </c>
      <c r="C23" s="4" t="str">
        <v>Global</v>
      </c>
      <c r="D23" s="4" t="str">
        <v>global</v>
      </c>
      <c r="E23" s="5">
        <v>100</v>
      </c>
      <c r="F23" s="4">
        <v>433</v>
      </c>
    </row>
    <row r="24" ht="45" customHeight="1">
      <c r="A24" s="8" t="str">
        <v>AOW04: Achieving Impact by Unlocking Finance and Partnerships</v>
      </c>
      <c r="B24" s="4" t="str">
        <v>IWMI</v>
      </c>
      <c r="C24" s="4" t="str">
        <v>Bangladesh</v>
      </c>
      <c r="D24" s="4" t="str">
        <v>country</v>
      </c>
      <c r="E24" s="5">
        <v>23</v>
      </c>
      <c r="F24" s="4">
        <v>634</v>
      </c>
    </row>
    <row r="25" ht="45" customHeight="1">
      <c r="A25" s="4" t="str">
        <v>AOW04: Achieving Impact by Unlocking Finance and Partnerships</v>
      </c>
      <c r="B25" s="4" t="str">
        <v>IWMI</v>
      </c>
      <c r="C25" s="4" t="str">
        <v>Egypt</v>
      </c>
      <c r="D25" s="4" t="str">
        <v>country</v>
      </c>
      <c r="E25" s="5">
        <v>20</v>
      </c>
      <c r="F25" s="4">
        <v>633</v>
      </c>
    </row>
    <row r="26" ht="45" customHeight="1">
      <c r="A26" s="4" t="str">
        <v>AOW04: Achieving Impact by Unlocking Finance and Partnerships</v>
      </c>
      <c r="B26" s="4" t="str">
        <v>IWMI</v>
      </c>
      <c r="C26" s="4" t="str">
        <v>India</v>
      </c>
      <c r="D26" s="4" t="str">
        <v>country</v>
      </c>
      <c r="E26" s="5">
        <v>7</v>
      </c>
      <c r="F26" s="4">
        <v>630</v>
      </c>
    </row>
    <row r="27" ht="45" customHeight="1">
      <c r="A27" s="4" t="str">
        <v>AOW04: Achieving Impact by Unlocking Finance and Partnerships</v>
      </c>
      <c r="B27" s="4" t="str">
        <v>IWMI</v>
      </c>
      <c r="C27" s="4" t="str">
        <v>Kenya</v>
      </c>
      <c r="D27" s="4" t="str">
        <v>country</v>
      </c>
      <c r="E27" s="5">
        <v>19</v>
      </c>
      <c r="F27" s="4">
        <v>632</v>
      </c>
    </row>
    <row r="28" ht="45" customHeight="1">
      <c r="A28" s="4" t="str">
        <v>AOW04: Achieving Impact by Unlocking Finance and Partnerships</v>
      </c>
      <c r="B28" s="4" t="str">
        <v>IWMI</v>
      </c>
      <c r="C28" s="4" t="str">
        <v>Morocco</v>
      </c>
      <c r="D28" s="4" t="str">
        <v>country</v>
      </c>
      <c r="E28" s="5">
        <v>24</v>
      </c>
      <c r="F28" s="4">
        <v>629</v>
      </c>
    </row>
    <row r="29" ht="45" customHeight="1">
      <c r="A29" s="4" t="str">
        <v>AOW04: Achieving Impact by Unlocking Finance and Partnerships</v>
      </c>
      <c r="B29" s="4" t="str">
        <v>IWMI</v>
      </c>
      <c r="C29" s="4" t="str">
        <v>Zambia</v>
      </c>
      <c r="D29" s="4" t="str">
        <v>country</v>
      </c>
      <c r="E29" s="5">
        <v>7</v>
      </c>
      <c r="F29" s="4">
        <v>631</v>
      </c>
    </row>
    <row r="30" ht="45" customHeight="1">
      <c r="A30" s="8" t="str">
        <v>AOW05: Learning for Impact</v>
      </c>
      <c r="B30" s="4" t="str">
        <v>IWMI</v>
      </c>
      <c r="C30" s="4" t="str">
        <v>Bangladesh</v>
      </c>
      <c r="D30" s="4" t="str">
        <v>country</v>
      </c>
      <c r="E30" s="5">
        <v>13.1</v>
      </c>
      <c r="F30" s="4">
        <v>569</v>
      </c>
    </row>
    <row r="31" ht="45" customHeight="1">
      <c r="A31" s="4" t="str">
        <v>AOW05: Learning for Impact</v>
      </c>
      <c r="B31" s="4" t="str">
        <v>IWMI</v>
      </c>
      <c r="C31" s="4" t="str">
        <v>Ethiopia</v>
      </c>
      <c r="D31" s="4" t="str">
        <v>country</v>
      </c>
      <c r="E31" s="5">
        <v>22.44</v>
      </c>
      <c r="F31" s="4">
        <v>567</v>
      </c>
    </row>
    <row r="32" ht="45" customHeight="1">
      <c r="A32" s="4" t="str">
        <v>AOW05: Learning for Impact</v>
      </c>
      <c r="B32" s="4" t="str">
        <v>IWMI</v>
      </c>
      <c r="C32" s="4" t="str">
        <v>India</v>
      </c>
      <c r="D32" s="4" t="str">
        <v>country</v>
      </c>
      <c r="E32" s="5">
        <v>13.1</v>
      </c>
      <c r="F32" s="4">
        <v>568</v>
      </c>
    </row>
    <row r="33" ht="45" customHeight="1">
      <c r="A33" s="4" t="str">
        <v>AOW05: Learning for Impact</v>
      </c>
      <c r="B33" s="4" t="str">
        <v>IWMI</v>
      </c>
      <c r="C33" s="4" t="str">
        <v>Nepal</v>
      </c>
      <c r="D33" s="4" t="str">
        <v>country</v>
      </c>
      <c r="E33" s="5">
        <v>47.1</v>
      </c>
      <c r="F33" s="4">
        <v>566</v>
      </c>
    </row>
    <row r="34" ht="45" customHeight="1">
      <c r="A34" s="4" t="str">
        <v>AOW05: Learning for Impact</v>
      </c>
      <c r="B34" s="4" t="str">
        <v>IWMI</v>
      </c>
      <c r="C34" s="4" t="str">
        <v>Zambia</v>
      </c>
      <c r="D34" s="4" t="str">
        <v>country</v>
      </c>
      <c r="E34" s="5">
        <v>4.26</v>
      </c>
      <c r="F34" s="4">
        <v>570</v>
      </c>
    </row>
  </sheetData>
  <mergeCells count="6">
    <mergeCell ref="A2"/>
    <mergeCell ref="A3:A10"/>
    <mergeCell ref="A11:A22"/>
    <mergeCell ref="A23"/>
    <mergeCell ref="A24:A29"/>
    <mergeCell ref="A30:A34"/>
  </mergeCells>
  <ignoredErrors>
    <ignoredError numberStoredAsText="1" sqref="A1:F34"/>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