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20313</v>
      </c>
      <c r="K4" s="5">
        <v>20313</v>
      </c>
      <c r="L4" s="5">
        <v>0</v>
      </c>
      <c r="M4" s="5">
        <v>0</v>
      </c>
      <c r="N4" s="4">
        <v>206</v>
      </c>
    </row>
    <row r="5" ht="20" customHeight="1">
      <c r="A5" s="4" t="str">
        <v>AOW01: Engage and Empower</v>
      </c>
      <c r="B5" s="5">
        <v>0</v>
      </c>
      <c r="C5" s="5">
        <v>0</v>
      </c>
      <c r="D5" s="5">
        <v>5</v>
      </c>
      <c r="E5" s="5">
        <v>180000</v>
      </c>
      <c r="F5" s="5">
        <v>4</v>
      </c>
      <c r="G5" s="5">
        <v>100000</v>
      </c>
      <c r="H5" s="5">
        <v>2</v>
      </c>
      <c r="I5" s="5">
        <v>50000</v>
      </c>
      <c r="J5" s="5">
        <v>330000</v>
      </c>
      <c r="K5" s="5">
        <v>330000</v>
      </c>
      <c r="L5" s="5">
        <v>0</v>
      </c>
      <c r="M5" s="5">
        <v>0</v>
      </c>
      <c r="N5" s="4">
        <v>205</v>
      </c>
    </row>
    <row r="6" ht="20" customHeight="1">
      <c r="A6" s="4" t="str">
        <v>AOW02: Grand Challenges and Scaling Flagships</v>
      </c>
      <c r="B6" s="5">
        <v>22</v>
      </c>
      <c r="C6" s="5">
        <v>406647</v>
      </c>
      <c r="D6" s="5">
        <v>14</v>
      </c>
      <c r="E6" s="5">
        <v>467487</v>
      </c>
      <c r="F6" s="5">
        <v>25194</v>
      </c>
      <c r="G6" s="5">
        <v>468776</v>
      </c>
      <c r="H6" s="5">
        <v>555</v>
      </c>
      <c r="I6" s="5">
        <v>532901</v>
      </c>
      <c r="J6" s="5">
        <v>1875811</v>
      </c>
      <c r="K6" s="5">
        <v>1875811</v>
      </c>
      <c r="L6" s="5">
        <v>180000</v>
      </c>
      <c r="M6" s="5">
        <v>0</v>
      </c>
      <c r="N6" s="4">
        <v>201</v>
      </c>
    </row>
    <row r="7" ht="20" customHeight="1">
      <c r="A7" s="4" t="str">
        <v>AOW03: Enabling Environment Lab</v>
      </c>
      <c r="B7" s="5">
        <v>0</v>
      </c>
      <c r="C7" s="5">
        <v>0</v>
      </c>
      <c r="D7" s="5">
        <v>0</v>
      </c>
      <c r="E7" s="5">
        <v>0</v>
      </c>
      <c r="F7" s="5">
        <v>0</v>
      </c>
      <c r="G7" s="5">
        <v>0</v>
      </c>
      <c r="H7" s="5">
        <v>0</v>
      </c>
      <c r="I7" s="5">
        <v>0</v>
      </c>
      <c r="J7" s="5">
        <v>0</v>
      </c>
      <c r="K7" s="5">
        <v>0</v>
      </c>
      <c r="L7" s="5">
        <v>0</v>
      </c>
      <c r="M7" s="5">
        <v>0</v>
      </c>
      <c r="N7" s="4">
        <v>203</v>
      </c>
    </row>
    <row r="8" ht="20" customHeight="1">
      <c r="A8" s="4" t="str">
        <v>AOW04: Achieving Impact by Unlocking Finance and Partnerships</v>
      </c>
      <c r="B8" s="5">
        <v>6</v>
      </c>
      <c r="C8" s="5">
        <v>52989</v>
      </c>
      <c r="D8" s="5">
        <v>7</v>
      </c>
      <c r="E8" s="5">
        <v>82988</v>
      </c>
      <c r="F8" s="5">
        <v>0</v>
      </c>
      <c r="G8" s="5">
        <v>0</v>
      </c>
      <c r="H8" s="5">
        <v>0</v>
      </c>
      <c r="I8" s="5">
        <v>0</v>
      </c>
      <c r="J8" s="5">
        <v>135977</v>
      </c>
      <c r="K8" s="5">
        <v>135977</v>
      </c>
      <c r="L8" s="5">
        <v>0</v>
      </c>
      <c r="M8" s="5">
        <v>0</v>
      </c>
      <c r="N8" s="4">
        <v>202</v>
      </c>
    </row>
    <row r="9" ht="20" customHeight="1">
      <c r="A9" s="4" t="str">
        <v>AOW05: Learning for Impact</v>
      </c>
      <c r="B9" s="5">
        <v>4</v>
      </c>
      <c r="C9" s="5">
        <v>40000</v>
      </c>
      <c r="D9" s="5">
        <v>0</v>
      </c>
      <c r="E9" s="5">
        <v>0</v>
      </c>
      <c r="F9" s="5">
        <v>0</v>
      </c>
      <c r="G9" s="5">
        <v>0</v>
      </c>
      <c r="H9" s="5">
        <v>0</v>
      </c>
      <c r="I9" s="5">
        <v>0</v>
      </c>
      <c r="J9" s="5">
        <v>40000</v>
      </c>
      <c r="K9" s="5">
        <v>40000</v>
      </c>
      <c r="L9" s="5">
        <v>0</v>
      </c>
      <c r="M9" s="5">
        <v>40000</v>
      </c>
      <c r="N9" s="4">
        <v>204</v>
      </c>
    </row>
    <row r="10" ht="25" customHeight="1">
      <c r="A10" s="6" t="str">
        <v>Total</v>
      </c>
      <c r="B10" s="7" t="str">
        <v/>
      </c>
      <c r="C10" s="7">
        <v>499636</v>
      </c>
      <c r="D10" s="7" t="str">
        <v/>
      </c>
      <c r="E10" s="7">
        <v>730475</v>
      </c>
      <c r="F10" s="7" t="str">
        <v/>
      </c>
      <c r="G10" s="7">
        <v>568776</v>
      </c>
      <c r="H10" s="7" t="str">
        <v/>
      </c>
      <c r="I10" s="7">
        <v>582901</v>
      </c>
      <c r="J10" s="7">
        <v>2402101</v>
      </c>
      <c r="K10" s="7">
        <v>2402101</v>
      </c>
      <c r="L10" s="7">
        <v>180000</v>
      </c>
      <c r="M10" s="7">
        <v>40000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Engage and Empower</v>
      </c>
      <c r="B3" s="4" t="str">
        <v>CIMMYT</v>
      </c>
      <c r="C3" s="4" t="str">
        <v>HLO 1.1.2: Data and guidance for adaptive management</v>
      </c>
      <c r="D3"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3" s="4" t="str">
        <v>Number of people trained (capacity sharing for development)</v>
      </c>
      <c r="F3" s="4" t="str">
        <v>Kenya</v>
      </c>
      <c r="G3" s="5">
        <v>4</v>
      </c>
      <c r="H3" s="5">
        <v>100000</v>
      </c>
      <c r="I3"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J3" s="4">
        <v>5877</v>
      </c>
    </row>
    <row r="4" ht="50" customHeight="1">
      <c r="A4" s="4" t="str">
        <v>AOW01: Engage and Empower</v>
      </c>
      <c r="B4" s="4" t="str">
        <v>CIMMYT</v>
      </c>
      <c r="C4" s="4" t="str">
        <v>HLO 1.1.3: Strategies for research and scaling prioritization</v>
      </c>
      <c r="D4"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4" s="4" t="str">
        <v>custom</v>
      </c>
      <c r="F4" s="4" t="str">
        <v>Bangladesh</v>
      </c>
      <c r="G4" s="5">
        <v>2</v>
      </c>
      <c r="H4" s="5">
        <v>50000</v>
      </c>
      <c r="I4" s="4" t="str">
        <v xml:space="preserve"> 2 – Two outputs completed and disseminated in Bangladesh by the end of 2026 (one participatory workshop and one finalized “Demand for Scaling” agenda/report), enhancing alignment between CGIAR and national priorities through participatory planning and institutional learning.</v>
      </c>
      <c r="J4" s="4">
        <v>5882</v>
      </c>
    </row>
    <row r="5" ht="50" customHeight="1">
      <c r="B5" s="4" t="str">
        <v>CIMMYT</v>
      </c>
      <c r="D5" s="4" t="str">
        <v>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developing and applying a standardized policy and institutional analysis methodology that links national priorities with scaling for impact.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5" s="4" t="str">
        <v>Number of knowledge products</v>
      </c>
      <c r="F5" s="4" t="str">
        <v>Bangladesh</v>
      </c>
      <c r="G5" s="5">
        <v>1</v>
      </c>
      <c r="H5" s="5">
        <v>30000</v>
      </c>
      <c r="I5" s="4" t="str">
        <v xml:space="preserve">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v>
      </c>
      <c r="J5" s="4">
        <v>5887</v>
      </c>
    </row>
    <row r="6" ht="50" customHeight="1">
      <c r="B6" s="4" t="str">
        <v>CIMMYT</v>
      </c>
      <c r="D6"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6" s="4" t="str">
        <v>Number of knowledge products</v>
      </c>
      <c r="F6" s="4" t="str">
        <v>Bangladesh</v>
      </c>
      <c r="G6" s="5">
        <v>1</v>
      </c>
      <c r="H6" s="5">
        <v>20000</v>
      </c>
      <c r="I6" s="4" t="str">
        <v>1 – One methodological framework finalized and validated by the end of 2026 to institutionalize demand signaling and strengthen policy alignment for adaptive research and scaling in at least one CGIAR priority country.</v>
      </c>
      <c r="J6" s="4">
        <v>5983</v>
      </c>
    </row>
    <row r="7" ht="50" customHeight="1">
      <c r="A7" s="4" t="str">
        <v>AOW01: Engage and Empower</v>
      </c>
      <c r="B7" s="4" t="str">
        <v>CIMMYT</v>
      </c>
      <c r="C7" s="4" t="str">
        <v>HLO 1.1.1: Demand intelligence system</v>
      </c>
      <c r="D7"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7" s="4" t="str">
        <v>Number of knowledge products</v>
      </c>
      <c r="F7" s="4" t="str">
        <v>Bangladesh</v>
      </c>
      <c r="G7" s="5">
        <v>1</v>
      </c>
      <c r="H7" s="5">
        <v>30000</v>
      </c>
      <c r="I7" s="4" t="str">
        <v xml:space="preserve"> One demand-driven scaling report finalized and disseminated in Bangladesh by the end of 2026, accompanied by a validated communication strategy that integrates AKIS diagnostic findings and roadmap priorities to guide the scaling of CGIAR-linked innovations.</v>
      </c>
      <c r="J7" s="4">
        <v>5888</v>
      </c>
    </row>
    <row r="8" ht="50" customHeight="1">
      <c r="B8" s="4" t="str">
        <v>CIMMYT</v>
      </c>
      <c r="D8"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8" s="4" t="str">
        <v>Number of knowledge products</v>
      </c>
      <c r="F8" s="4" t="str">
        <v>Bangladesh</v>
      </c>
      <c r="G8" s="5">
        <v>1</v>
      </c>
      <c r="H8" s="5">
        <v>40000</v>
      </c>
      <c r="I8" s="4" t="str">
        <v xml:space="preserve">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v>
      </c>
      <c r="J8" s="4">
        <v>5987</v>
      </c>
    </row>
    <row r="9" ht="50" customHeight="1">
      <c r="B9" s="4" t="str">
        <v>CIMMYT</v>
      </c>
      <c r="D9"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9" s="4" t="str">
        <v>Number of knowledge products</v>
      </c>
      <c r="F9" s="4" t="str">
        <v>Kenya, Bangladesh</v>
      </c>
      <c r="G9" s="5">
        <v>1</v>
      </c>
      <c r="H9" s="5">
        <v>60000</v>
      </c>
      <c r="I9" s="4" t="str">
        <v>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v>
      </c>
      <c r="J9" s="4">
        <v>5988</v>
      </c>
    </row>
    <row r="10" ht="25" customHeight="1">
      <c r="C10" s="9" t="str">
        <v>HLO budget subtotal</v>
      </c>
      <c r="H10" s="9">
        <v>330000</v>
      </c>
      <c r="J10" s="9" t="str">
        <v/>
      </c>
    </row>
    <row r="11" ht="50" customHeight="1" xml:space="preserve">
      <c r="A11" s="8" t="str">
        <v>AOW02: Grand Challenges and Scaling Flagships</v>
      </c>
      <c r="B11" s="4" t="str">
        <v>CIMMYT</v>
      </c>
      <c r="C11" s="4" t="str">
        <v>HLO 2.2.1: Climate smart innovations</v>
      </c>
      <c r="D11" s="4" t="str">
        <v>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1" s="4" t="str">
        <v>Number of knowledge products</v>
      </c>
      <c r="F11" s="4" t="str">
        <v>Bangladesh</v>
      </c>
      <c r="G11" s="5">
        <v>2</v>
      </c>
      <c r="H11" s="5">
        <v>77315</v>
      </c>
      <c r="I11" s="4" t="str" xml:space="preserve">
        <v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15,210 	Top-off to Lead centre first KPI
</v>
      </c>
      <c r="J11" s="4">
        <v>5903</v>
      </c>
    </row>
    <row r="12" ht="50" customHeight="1">
      <c r="B12" s="4" t="str">
        <v>CIMMYT</v>
      </c>
      <c r="D12" s="4" t="str">
        <v>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2" s="4" t="str">
        <v>Number of innovations (innovation development)</v>
      </c>
      <c r="F12" s="4" t="str">
        <v>Bangladesh</v>
      </c>
      <c r="G12" s="5">
        <v>2</v>
      </c>
      <c r="H12" s="5">
        <v>62105</v>
      </c>
      <c r="I12" s="4" t="str">
        <v>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v>
      </c>
      <c r="J12" s="4">
        <v>7843</v>
      </c>
    </row>
    <row r="13" ht="50" customHeight="1">
      <c r="B13" s="4" t="str">
        <v>CIMMYT</v>
      </c>
      <c r="D13" s="4" t="str">
        <v>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3" s="4" t="str">
        <v>Number of people trained (capacity sharing for development)</v>
      </c>
      <c r="F13" s="4" t="str">
        <v>Bangladesh</v>
      </c>
      <c r="G13" s="5">
        <v>4000</v>
      </c>
      <c r="H13" s="5">
        <v>62105</v>
      </c>
      <c r="I13" s="4" t="str">
        <v>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v>
      </c>
      <c r="J13" s="4">
        <v>7846</v>
      </c>
    </row>
    <row r="14" ht="50" customHeight="1">
      <c r="B14" s="4" t="str">
        <v>CIMMYT</v>
      </c>
      <c r="D14" s="4" t="str">
        <v>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4" s="4" t="str">
        <v>custom</v>
      </c>
      <c r="F14" s="4" t="str">
        <v>Bangladesh</v>
      </c>
      <c r="G14" s="5">
        <v>3</v>
      </c>
      <c r="H14" s="5">
        <v>62106</v>
      </c>
      <c r="I14" s="4" t="str">
        <v>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v>
      </c>
      <c r="J14" s="4">
        <v>7851</v>
      </c>
    </row>
    <row r="15" ht="50" customHeight="1">
      <c r="A15" s="4" t="str">
        <v>AOW02: Grand Challenges and Scaling Flagships</v>
      </c>
      <c r="B15" s="4" t="str">
        <v>CIMMYT</v>
      </c>
      <c r="C15" s="4" t="str">
        <v>HLO 2.2.2: Business models and market-led solutions</v>
      </c>
      <c r="D15"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15" s="4" t="str">
        <v>custom</v>
      </c>
      <c r="F15" s="4" t="str">
        <v>Bangladesh, Nepal</v>
      </c>
      <c r="G15" s="5">
        <v>8</v>
      </c>
      <c r="H15" s="5">
        <v>63190</v>
      </c>
      <c r="I15" s="4" t="str">
        <v xml:space="preserve">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v>
      </c>
      <c r="J15" s="4">
        <v>5911</v>
      </c>
    </row>
    <row r="16" ht="50" customHeight="1">
      <c r="B16" s="4" t="str">
        <v>CIMMYT</v>
      </c>
      <c r="D16"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16" s="4" t="str">
        <v>custom</v>
      </c>
      <c r="F16" s="4" t="str">
        <v>Zambia, Malawi</v>
      </c>
      <c r="G16" s="5">
        <v>250</v>
      </c>
      <c r="H16" s="5">
        <v>130000</v>
      </c>
      <c r="I16" s="4" t="str">
        <v>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v>
      </c>
      <c r="J16" s="4">
        <v>5912</v>
      </c>
    </row>
    <row r="17" ht="50" customHeight="1">
      <c r="B17" s="4" t="str">
        <v>CIMMYT</v>
      </c>
      <c r="D17"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17" s="4" t="str">
        <v>Number of people trained (capacity sharing for development)</v>
      </c>
      <c r="F17" s="4" t="str">
        <v>Malawi, Zambia</v>
      </c>
      <c r="G17" s="5">
        <v>5</v>
      </c>
      <c r="H17" s="5">
        <v>40000</v>
      </c>
      <c r="I17" s="4" t="str">
        <v xml:space="preserve">15,000 – Fifteen thousand smallholder farmers applying CGIAR-linked mechanization innovations by the end of 2026 in Zambia and Malawi through strengthened long-term scaling networks and expanded Mechanization Service Provider (MSP) systems. </v>
      </c>
      <c r="J17" s="4">
        <v>5913</v>
      </c>
    </row>
    <row r="18" ht="50" customHeight="1">
      <c r="B18" s="4" t="str">
        <v>CIMMYT</v>
      </c>
      <c r="D18"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18" s="4" t="str">
        <v>custom</v>
      </c>
      <c r="F18" s="4" t="str">
        <v>Zambia, Malawi</v>
      </c>
      <c r="G18" s="5">
        <v>2</v>
      </c>
      <c r="H18" s="5">
        <v>63191</v>
      </c>
      <c r="I18" s="4" t="str">
        <v>21,000 – Twenty-one thousand U.S. dollars leveraged by the end of 2026 through CGIAR-influenced collaboration with financial institutions and equipment suppliers to expand climate-smart mechanization services in Zambia and Malawi</v>
      </c>
      <c r="J18" s="4">
        <v>5914</v>
      </c>
    </row>
    <row r="19" ht="50" customHeight="1">
      <c r="B19" s="4" t="str">
        <v>CIMMYT</v>
      </c>
      <c r="D19"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19" s="4" t="str">
        <v>Number of people trained (capacity sharing for development)</v>
      </c>
      <c r="F19" s="4" t="str">
        <v>Bangladesh, Nepal</v>
      </c>
      <c r="G19" s="5">
        <v>10</v>
      </c>
      <c r="H19" s="5">
        <v>130000</v>
      </c>
      <c r="I19" s="4" t="str">
        <v>26,000 – Twenty-six thousand jobs created or improved by the end of 2026 in Nepal and Bangladesh through strengthened long-term scaling hubs and partner networks delivering mechanization, input-service, and digital-advisory functions</v>
      </c>
      <c r="J19" s="4">
        <v>5915</v>
      </c>
    </row>
    <row r="20" ht="50" customHeight="1" xml:space="preserve">
      <c r="B20" s="4" t="str">
        <v>CIMMYT</v>
      </c>
      <c r="D20"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20" s="4" t="str">
        <v>Number of people trained (capacity sharing for development)</v>
      </c>
      <c r="F20" s="4" t="str">
        <v>Bangladesh, Nepal</v>
      </c>
      <c r="G20" s="5">
        <v>5</v>
      </c>
      <c r="H20" s="5">
        <v>40000</v>
      </c>
      <c r="I20" s="4" t="str">
        <v>865,600 – Eight hundred sixty-five thousand six hundred farmers applying CGIAR-linked seed, soil fertility, mechanization, agronomy, and irrigation innovations by the end of 2026 in Nepal and Bangladesh through strengthened long-term scaling hubs and partner networks.</v>
      </c>
      <c r="J20" s="4">
        <v>5916</v>
      </c>
    </row>
    <row r="21" ht="50" customHeight="1">
      <c r="B21" s="4" t="str">
        <v>CIMMYT</v>
      </c>
      <c r="D21" s="4" t="str">
        <v>A2P12.3 : PoD name: Scaling Inclusive Rice Transplanting Mechanization Services in Bangladesh. Lead Center: CIMMYT. PoD KPI: One hundreds-100 Organization  (100 women‑led seedling enterprises / Women‑led community group engaged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Capacity Sharing. Unit: Number of organizations.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1" s="4" t="str">
        <v>custom</v>
      </c>
      <c r="F21" s="4" t="str">
        <v>Bangladesh</v>
      </c>
      <c r="G21" s="5">
        <v>100</v>
      </c>
      <c r="H21" s="5">
        <v>118297</v>
      </c>
      <c r="I21" s="4" t="str">
        <v xml:space="preserve">One hundreds-100 Organization (100 women‑led seedling enterprises / Women‑led community group engaged ) that contribute for Three thousand total jobs creation or improved by the end of 2026 across Bangladesh through youth-led MSPs and women-led seedling enterprises </v>
      </c>
      <c r="J21" s="4">
        <v>5918</v>
      </c>
    </row>
    <row r="22" ht="50" customHeight="1">
      <c r="B22" s="4" t="str">
        <v>CIMMYT</v>
      </c>
      <c r="D22" s="4" t="str">
        <v>A2P12.2 : PoD name: Scaling Inclusive Rice Transplanting Mechanization Services in Bangladesh. Lead Center: CIMMYT. PoD KPI: 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Innovation Devolopment. Unit: Number of innovations.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2" s="4" t="str">
        <v>Number of innovations (innovation development)</v>
      </c>
      <c r="F22" s="4" t="str">
        <v>Bangladesh</v>
      </c>
      <c r="G22" s="5">
        <v>2</v>
      </c>
      <c r="H22" s="5">
        <v>118297</v>
      </c>
      <c r="I22" s="4" t="str">
        <v>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v>
      </c>
      <c r="J22" s="4">
        <v>5919</v>
      </c>
    </row>
    <row r="23" ht="50" customHeight="1" xml:space="preserve">
      <c r="B23" s="4" t="str">
        <v>CIMMYT</v>
      </c>
      <c r="D23" s="4" t="str">
        <v>A2P12.1 : PoD name: Scaling Inclusive Rice Transplanting Mechanization Services in Bangladesh. Lead Center: CIMMYT. PoD KPI: 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Knowledege Products. Unit: Number of strategies.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3" s="4" t="str">
        <v>Number of knowledge products</v>
      </c>
      <c r="F23" s="4" t="str">
        <v>Bangladesh</v>
      </c>
      <c r="G23" s="5">
        <v>1</v>
      </c>
      <c r="H23" s="5">
        <v>133507</v>
      </c>
      <c r="I23" s="4" t="str" xml:space="preserve">
        <v xml:space="preserve">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15,210 	Top-off to Lead centre first KPI
</v>
      </c>
      <c r="J23" s="4">
        <v>5920</v>
      </c>
    </row>
    <row r="24" ht="50" customHeight="1">
      <c r="B24" s="4" t="str">
        <v>CIMMYT</v>
      </c>
      <c r="D24" s="4" t="str">
        <v>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v>
      </c>
      <c r="E24" s="4" t="str">
        <v>Number of innovations (innovation development)</v>
      </c>
      <c r="F24" s="4" t="str">
        <v>Nepal</v>
      </c>
      <c r="G24" s="5">
        <v>7</v>
      </c>
      <c r="H24" s="5">
        <v>66543</v>
      </c>
      <c r="I24" s="4" t="str">
        <v>Seven (7) innpvation developed( 7 Multi‑stakeholder platforms launched and functional with public‑private partnerships ) that contribute for three thousand seven hundred eighty jobs for eligible individuals (40% women, 30% youth) by applying CGIAR-linked innovations by the end of 2026</v>
      </c>
      <c r="J24" s="4">
        <v>5922</v>
      </c>
    </row>
    <row r="25" ht="50" customHeight="1" xml:space="preserve">
      <c r="B25" s="4" t="str">
        <v>CIMMYT</v>
      </c>
      <c r="D25" s="4" t="str">
        <v>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v>
      </c>
      <c r="E25" s="4" t="str">
        <v>Number of knowledge products</v>
      </c>
      <c r="F25" s="4" t="str">
        <v>Nepal</v>
      </c>
      <c r="G25" s="5">
        <v>4</v>
      </c>
      <c r="H25" s="5">
        <v>81753</v>
      </c>
      <c r="I25" s="4" t="str" xml:space="preserve">
        <v xml:space="preserve">Four (4) Knowledege products (3 knowledge products on improved technology uptake prepared and one scaling strategy or innovation packaging or scaling plan co‑designed with partners ) that contribute for three thousand seven hundred eighty jobs for eligible individuals 
 15,210 	Top-off to Lead centre first KPI
</v>
      </c>
      <c r="J25" s="4">
        <v>5931</v>
      </c>
    </row>
    <row r="26" ht="50" customHeight="1">
      <c r="B26" s="4" t="str">
        <v>CIMMYT</v>
      </c>
      <c r="D26" s="4" t="str">
        <v>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6" s="4" t="str">
        <v>Number of knowledge products</v>
      </c>
      <c r="F26" s="4" t="str">
        <v>Gambia, Côte d'Ivoire, Cameroon, Nigeria</v>
      </c>
      <c r="G26" s="5">
        <v>1</v>
      </c>
      <c r="H26" s="5">
        <v>29574</v>
      </c>
      <c r="I26" s="4" t="str">
        <v>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v>
      </c>
      <c r="J26" s="4">
        <v>5932</v>
      </c>
    </row>
    <row r="27" ht="50" customHeight="1">
      <c r="B27" s="4" t="str">
        <v>CIMMYT</v>
      </c>
      <c r="D27" s="4" t="str">
        <v>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7" s="4" t="str">
        <v>Number of innovations (innovation development)</v>
      </c>
      <c r="F27" s="4" t="str">
        <v>Nigeria, Gambia, Côte d'Ivoire, Cameroon</v>
      </c>
      <c r="G27" s="5">
        <v>2</v>
      </c>
      <c r="H27" s="5">
        <v>29574</v>
      </c>
      <c r="I27" s="4" t="str">
        <v>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v>
      </c>
      <c r="J27" s="4">
        <v>5934</v>
      </c>
    </row>
    <row r="28" ht="50" customHeight="1">
      <c r="B28" s="4" t="str">
        <v>CIMMYT</v>
      </c>
      <c r="D28" s="4" t="str">
        <v>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8" s="4" t="str">
        <v>custom</v>
      </c>
      <c r="F28" s="4" t="str">
        <v>Nigeria, Cameroon, Côte d'Ivoire, Gambia</v>
      </c>
      <c r="G28" s="5">
        <v>3</v>
      </c>
      <c r="H28" s="5">
        <v>29574</v>
      </c>
      <c r="I28" s="4" t="str">
        <v xml:space="preserve">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v>
      </c>
      <c r="J28" s="4">
        <v>5936</v>
      </c>
    </row>
    <row r="29" ht="50" customHeight="1" xml:space="preserve">
      <c r="B29" s="4" t="str">
        <v>CIMMYT</v>
      </c>
      <c r="D29" s="4" t="str" xml:space="preserve">
        <v xml:space="preserve">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9" s="4" t="str">
        <v>Number of knowledge products</v>
      </c>
      <c r="F29" s="4" t="str">
        <v>India</v>
      </c>
      <c r="G29" s="5">
        <v>1</v>
      </c>
      <c r="H29" s="5">
        <v>29575</v>
      </c>
      <c r="I29" s="4" t="str">
        <v>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v>
      </c>
      <c r="J29" s="4">
        <v>5938</v>
      </c>
    </row>
    <row r="30" ht="50" customHeight="1" xml:space="preserve">
      <c r="B30" s="4" t="str">
        <v>CIMMYT</v>
      </c>
      <c r="D30" s="4" t="str">
        <v>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0" s="4" t="str">
        <v>Number of knowledge products</v>
      </c>
      <c r="F30" s="4" t="str">
        <v>Zimbabwe, Malawi, Zambia</v>
      </c>
      <c r="G30" s="5">
        <v>1</v>
      </c>
      <c r="H30" s="5">
        <v>98018</v>
      </c>
      <c r="I30" s="4" t="str" xml:space="preserve">
        <v xml:space="preserve">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15,210 	Top-off to Lead centre first KPI
</v>
      </c>
      <c r="J30" s="4">
        <v>5942</v>
      </c>
    </row>
    <row r="31" ht="50" customHeight="1" xml:space="preserve">
      <c r="B31" s="4" t="str">
        <v>CIMMYT</v>
      </c>
      <c r="D31" s="4" t="str" xml:space="preserve">
        <v xml:space="preserve">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1" s="4" t="str">
        <v>Number of innovations (innovation development)</v>
      </c>
      <c r="F31" s="4" t="str">
        <v>India</v>
      </c>
      <c r="G31" s="5">
        <v>1</v>
      </c>
      <c r="H31" s="5">
        <v>29575</v>
      </c>
      <c r="I31" s="4" t="str">
        <v xml:space="preserve">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v>
      </c>
      <c r="J31" s="4">
        <v>5943</v>
      </c>
    </row>
    <row r="32" ht="50" customHeight="1" xml:space="preserve">
      <c r="B32" s="4" t="str">
        <v>CIMMYT</v>
      </c>
      <c r="D32" s="4" t="str" xml:space="preserve">
        <v xml:space="preserve">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2" s="4" t="str">
        <v>Number of people trained (capacity sharing for development)</v>
      </c>
      <c r="F32" s="4" t="str">
        <v>India</v>
      </c>
      <c r="G32" s="5">
        <v>1500</v>
      </c>
      <c r="H32" s="5">
        <v>29575</v>
      </c>
      <c r="I32" s="4" t="str">
        <v xml:space="preserve">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v>
      </c>
      <c r="J32" s="4">
        <v>5945</v>
      </c>
    </row>
    <row r="33" ht="50" customHeight="1">
      <c r="B33" s="4" t="str">
        <v>CIMMYT</v>
      </c>
      <c r="D33" s="4" t="str">
        <v>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3" s="4" t="str">
        <v>Number of innovations (innovation development)</v>
      </c>
      <c r="F33" s="4" t="str">
        <v>Zimbabwe, Malawi, Zambia</v>
      </c>
      <c r="G33" s="5">
        <v>2</v>
      </c>
      <c r="H33" s="5">
        <v>82808</v>
      </c>
      <c r="I33" s="4" t="str">
        <v>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v>
      </c>
      <c r="J33" s="4">
        <v>5951</v>
      </c>
    </row>
    <row r="34" ht="50" customHeight="1">
      <c r="B34" s="4" t="str">
        <v>CIMMYT</v>
      </c>
      <c r="D34" s="4" t="str">
        <v>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4" s="4" t="str">
        <v>Number of people trained (capacity sharing for development)</v>
      </c>
      <c r="F34" s="4" t="str">
        <v>Zimbabwe, Malawi, Zambia</v>
      </c>
      <c r="G34" s="5">
        <v>500</v>
      </c>
      <c r="H34" s="5">
        <v>82808</v>
      </c>
      <c r="I34" s="4" t="str">
        <v>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v>
      </c>
      <c r="J34" s="4">
        <v>5954</v>
      </c>
    </row>
    <row r="35" ht="50" customHeight="1">
      <c r="B35" s="4" t="str">
        <v>CIMMYT</v>
      </c>
      <c r="D35" s="4" t="str">
        <v>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v>
      </c>
      <c r="E35" s="4" t="str">
        <v>custom</v>
      </c>
      <c r="F35" s="4" t="str">
        <v>Nepal</v>
      </c>
      <c r="G35" s="5">
        <v>189</v>
      </c>
      <c r="H35" s="5">
        <v>66543</v>
      </c>
      <c r="I35" s="4" t="str">
        <v>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v>
      </c>
      <c r="J35" s="4">
        <v>8004</v>
      </c>
    </row>
    <row r="36" ht="50" customHeight="1">
      <c r="B36" s="4" t="str">
        <v>CIMMYT</v>
      </c>
      <c r="D36" s="4" t="str">
        <v>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v>
      </c>
      <c r="E36" s="4" t="str">
        <v>Number of people trained (capacity sharing for development)</v>
      </c>
      <c r="F36" s="4" t="str">
        <v>Nepal</v>
      </c>
      <c r="G36" s="5">
        <v>19000</v>
      </c>
      <c r="H36" s="5">
        <v>66543</v>
      </c>
      <c r="I36" s="4" t="str">
        <v>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v>
      </c>
      <c r="J36" s="4">
        <v>8006</v>
      </c>
    </row>
    <row r="37" ht="50" customHeight="1">
      <c r="A37" s="4" t="str">
        <v>AOW02: Grand Challenges and Scaling Flagships</v>
      </c>
      <c r="B37" s="4" t="str">
        <v>CIMMYT</v>
      </c>
      <c r="C37" s="4" t="str">
        <v>HLO 2.2.3: Market, policy and behavior change innovations</v>
      </c>
      <c r="D37" s="4" t="str">
        <v>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7" s="4" t="str">
        <v>Number of knowledge products</v>
      </c>
      <c r="F37" s="4" t="str">
        <v>Ethiopia, Zambia</v>
      </c>
      <c r="G37" s="5">
        <v>4</v>
      </c>
      <c r="H37" s="5">
        <v>17745</v>
      </c>
      <c r="I37" s="4" t="str">
        <v>4 Knowledge products (2 technical reports on forage scaling + 2 innovation packaging reports) that contribute for Fifty-three thousand two hundred thirty-four smallholder farmers adopting forage-based feed innovations by end-2026.</v>
      </c>
      <c r="J37" s="4">
        <v>5968</v>
      </c>
    </row>
    <row r="38" ht="50" customHeight="1">
      <c r="B38" s="4" t="str">
        <v>CIMMYT</v>
      </c>
      <c r="D38" s="4" t="str">
        <v>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8" s="4" t="str">
        <v>Number of innovations (innovation development)</v>
      </c>
      <c r="F38" s="4" t="str">
        <v>Zambia, Ethiopia</v>
      </c>
      <c r="G38" s="5">
        <v>6</v>
      </c>
      <c r="H38" s="5">
        <v>17745</v>
      </c>
      <c r="I38" s="4" t="str">
        <v xml:space="preserve"> 6 Innovation Developed (1 maize‑forage legume integration bundle (Ethiopia) + 5 registered forage‑based livestock diets (Zambia)) that contribute for Fifty-three thousand two hundred thirty-four smallholder farmers adopting forage-based feed innovations by end-2026</v>
      </c>
      <c r="J38" s="4">
        <v>7792</v>
      </c>
    </row>
    <row r="39" ht="50" customHeight="1">
      <c r="B39" s="4" t="str">
        <v>CIMMYT</v>
      </c>
      <c r="D39" s="4" t="str">
        <v>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9" s="4" t="str">
        <v>Number of people trained (capacity sharing for development)</v>
      </c>
      <c r="F39" s="4" t="str">
        <v>Zambia, Ethiopia</v>
      </c>
      <c r="G39" s="5">
        <v>174</v>
      </c>
      <c r="H39" s="5">
        <v>17745</v>
      </c>
      <c r="I39" s="4" t="str">
        <v xml:space="preserve"> 174 Individuals trainned (70 extension officers, 2 private forage seed suppliers, + 100 extension agents, 2 agro‑dealers (Zambia)) that contribute for Fifty-three thousand two hundred thirty-four smallholder farmers adopting forage-based feed innovations by end-2026.</v>
      </c>
      <c r="J39" s="4">
        <v>7796</v>
      </c>
    </row>
    <row r="40" ht="25" customHeight="1">
      <c r="C40" s="9" t="str">
        <v>HLO budget subtotal</v>
      </c>
      <c r="H40" s="9">
        <v>1875811</v>
      </c>
      <c r="J40" s="9" t="str">
        <v/>
      </c>
    </row>
    <row r="41" ht="50" customHeight="1">
      <c r="A41" s="8" t="str">
        <v>AOW04: Achieving Impact by Unlocking Finance and Partnerships</v>
      </c>
      <c r="B41" s="4" t="str">
        <v>CIMMYT</v>
      </c>
      <c r="C41" s="4" t="str">
        <v>HLO 4.4.1: Technical assistance for financing for innovation scaling</v>
      </c>
      <c r="D41" s="4" t="str">
        <v>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v>
      </c>
      <c r="E41" s="4" t="str">
        <v>Number of innovations (innovation development)</v>
      </c>
      <c r="F41" s="4" t="str">
        <v>Morocco, Egypt, Bangladesh</v>
      </c>
      <c r="G41" s="5">
        <v>6</v>
      </c>
      <c r="H41" s="5">
        <v>52989</v>
      </c>
      <c r="I41" s="4" t="str">
        <v>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v>
      </c>
      <c r="J41" s="4">
        <v>6050</v>
      </c>
    </row>
    <row r="42" ht="50" customHeight="1">
      <c r="B42" s="4" t="str">
        <v>CIMMYT</v>
      </c>
      <c r="D42" s="4" t="str">
        <v>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v>
      </c>
      <c r="E42" s="4" t="str">
        <v>Number of knowledge products</v>
      </c>
      <c r="F42" s="4" t="str">
        <v>Bangladesh, Morocco, Egypt</v>
      </c>
      <c r="G42" s="5">
        <v>3</v>
      </c>
      <c r="H42" s="5">
        <v>52988</v>
      </c>
      <c r="I42" s="4" t="str">
        <v xml:space="preserve">3 – Three finalized country diagnostics and investment briefs (Egypt, Morocco, Bangladesh) validated with IsDB and government partners, establishing entry points for CGIAR innovation integration and investment design by the end of 2026 </v>
      </c>
      <c r="J42" s="4">
        <v>8031</v>
      </c>
    </row>
    <row r="43" ht="50" customHeight="1">
      <c r="B43" s="4" t="str">
        <v>CIMMYT</v>
      </c>
      <c r="D43" s="4" t="str">
        <v>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v>
      </c>
      <c r="E43" s="4" t="str">
        <v>Number of knowledge products</v>
      </c>
      <c r="F43" s="4" t="str">
        <v>Bangladesh</v>
      </c>
      <c r="G43" s="5">
        <v>4</v>
      </c>
      <c r="H43" s="5">
        <v>30000</v>
      </c>
      <c r="I43" s="4" t="str">
        <v xml:space="preserve">Four strategic knowledge products (one per center) documenting candidate innovations and center-level contribution strategies for integration into ADB agricultural and food systems investment programs by end-2026 </v>
      </c>
      <c r="J43" s="4">
        <v>8158</v>
      </c>
    </row>
    <row r="44" ht="25" customHeight="1">
      <c r="C44" s="9" t="str">
        <v>HLO budget subtotal</v>
      </c>
      <c r="H44" s="9">
        <v>135977</v>
      </c>
      <c r="J44" s="9" t="str">
        <v/>
      </c>
    </row>
    <row r="45" ht="50" customHeight="1" xml:space="preserve">
      <c r="A45" s="8" t="str">
        <v>AOW05: Learning for Impact</v>
      </c>
      <c r="B45" s="4" t="str">
        <v>CIMMYT</v>
      </c>
      <c r="C45" s="4" t="str">
        <v>HLO 5.5.2: Evidence-based evaluation and dynamic learning insights</v>
      </c>
      <c r="D45" s="4" t="str" xml:space="preserve">
        <v xml:space="preserve">A5P12.1 PoD Name: Dynamic Learning and Adaptive Management Strategy — CIMMYT S4I Scaling Pathway Engagement: KPI Title: Dynamic Learning IPSR Workshop Documentation and MEL Strategy for Agvisely, Market-led partnerships, Rice transplanters, and Inclusive mechanization and finance Solution Tracks. PoD KPI: 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CIMMYT-led solution tracks in AoW2 — specifically closing the adaptation gap by scaling Agvisely climate services in Bangladesh, supporting market-led partnerships for resilient agri-food systems in Nepal’s Terai region, scaling inclusive rice transplanting mechanization services in Bangladesh,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CIMMYT. PoD Owner: Iddo Dror. KPI Owner: t.amjath@cgiar.org; d.choudhary@cgiar.org; o.calvert@cgiar.org; c.thierfelder@cgiar.org. Anticipated partners: Not applicable. Partner modality: Not applicable. Countries of implementation: Bangladesh, Nepal, India. Location of benefit: Bangladesh, Nepal, India (Eastern India).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
</v>
      </c>
      <c r="E45" s="4" t="str">
        <v>Number of innovations (innovation development)</v>
      </c>
      <c r="F45" s="4" t="str">
        <v>Bangladesh, Zimbabwe, Nepal</v>
      </c>
      <c r="G45" s="5">
        <v>4</v>
      </c>
      <c r="H45" s="5">
        <v>40000</v>
      </c>
      <c r="I45" s="4" t="str">
        <v>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v>
      </c>
      <c r="J45" s="4">
        <v>8102</v>
      </c>
    </row>
    <row r="46" ht="25" customHeight="1">
      <c r="C46" s="9" t="str">
        <v>HLO budget subtotal</v>
      </c>
      <c r="H46" s="9">
        <v>40000</v>
      </c>
      <c r="J46" s="9" t="str">
        <v/>
      </c>
    </row>
  </sheetData>
  <mergeCells count="20">
    <mergeCell ref="A1:A2"/>
    <mergeCell ref="B1:B2"/>
    <mergeCell ref="C1:C2"/>
    <mergeCell ref="D1:H1"/>
    <mergeCell ref="I1:I2"/>
    <mergeCell ref="J1:J2"/>
    <mergeCell ref="C4:C6"/>
    <mergeCell ref="C7:C9"/>
    <mergeCell ref="C10:G10"/>
    <mergeCell ref="A3:A10"/>
    <mergeCell ref="C11:C14"/>
    <mergeCell ref="C15:C36"/>
    <mergeCell ref="C37:C39"/>
    <mergeCell ref="C40:G40"/>
    <mergeCell ref="A11:A40"/>
    <mergeCell ref="C41:C43"/>
    <mergeCell ref="C44:G44"/>
    <mergeCell ref="A41:A44"/>
    <mergeCell ref="C46:G46"/>
    <mergeCell ref="A45:A46"/>
  </mergeCells>
  <ignoredErrors>
    <ignoredError numberStoredAsText="1" sqref="A1:J46"/>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Grand Challenges and Scaling Flagships</v>
      </c>
      <c r="B2" s="4" t="str">
        <v>Unknown Center</v>
      </c>
      <c r="C2" s="4" t="str">
        <v>CIMMYT</v>
      </c>
      <c r="D2" s="4" t="str">
        <v>Bangladesh, Nepal, Zambia, Ethiopia</v>
      </c>
      <c r="E2" s="5">
        <v>180000</v>
      </c>
      <c r="F2" s="4" t="str">
        <v>Different solution tracks in Bangladesh, Nepal, zambia and Ethiopia</v>
      </c>
      <c r="G2" s="4">
        <v>359</v>
      </c>
    </row>
    <row r="3" ht="25" customHeight="1">
      <c r="B3" s="9" t="str">
        <v>Contracted partners subtotal</v>
      </c>
      <c r="E3" s="9">
        <v>180000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CIMMYT</v>
      </c>
      <c r="B2" s="4" t="str">
        <v>C0042 USAID-CSISA-MEA</v>
      </c>
      <c r="C2" s="4" t="str">
        <v>HLO 2.2.1: Climate smart innovations</v>
      </c>
      <c r="D2" s="5">
        <v>975505</v>
      </c>
      <c r="E2" s="4" t="str">
        <v>As per W3 and Bilateral mapping dashboard</v>
      </c>
      <c r="F2" s="4">
        <v>1139</v>
      </c>
    </row>
    <row r="3" ht="60" customHeight="1">
      <c r="A3" s="4" t="str">
        <v>CIMMYT</v>
      </c>
      <c r="B3" s="4" t="str">
        <v>V0145-Sustainable AgriFood Systems Approach for Sudan - SA</v>
      </c>
      <c r="C3" s="4" t="str">
        <v>HLO 2.2.1: Climate smart innovations</v>
      </c>
      <c r="D3" s="5">
        <v>0</v>
      </c>
      <c r="E3" s="4" t="str">
        <v/>
      </c>
      <c r="F3" s="4">
        <v>1138</v>
      </c>
    </row>
    <row r="4" ht="60" customHeight="1">
      <c r="A4" s="4" t="str">
        <v>CIMMYT</v>
      </c>
      <c r="B4" s="4" t="str">
        <v>V0146-AID-I : Southern Africa</v>
      </c>
      <c r="C4" s="4" t="str">
        <v>HLO 2.2.1: Climate smart innovations</v>
      </c>
      <c r="D4" s="5">
        <v>0</v>
      </c>
      <c r="E4" s="4" t="str">
        <v/>
      </c>
      <c r="F4" s="4">
        <v>1137</v>
      </c>
    </row>
    <row r="5" ht="60" customHeight="1">
      <c r="A5" s="4" t="str">
        <v>CIMMYT</v>
      </c>
      <c r="B5" s="4" t="str">
        <v>V0156-Wheat Disease Early Warning Advisory System (Wheat D</v>
      </c>
      <c r="C5" s="4" t="str">
        <v>HLO 2.2.1: Climate smart innovations</v>
      </c>
      <c r="D5" s="5">
        <v>293576</v>
      </c>
      <c r="E5" s="4" t="str">
        <v>As per W3 and Bilateral mapping dashboard</v>
      </c>
      <c r="F5" s="4">
        <v>1146</v>
      </c>
    </row>
    <row r="6" ht="60" customHeight="1">
      <c r="A6" s="4" t="str">
        <v>CIMMYT</v>
      </c>
      <c r="B6" s="4" t="str">
        <v>V0165-ACIAR-ICCCAD</v>
      </c>
      <c r="C6" s="4" t="str">
        <v>HLO 1.1.2: Data and guidance for adaptive management</v>
      </c>
      <c r="D6" s="5">
        <v>152320</v>
      </c>
      <c r="E6" s="4" t="str">
        <v>As per W3 and Bilateral mapping dashboard</v>
      </c>
      <c r="F6" s="4">
        <v>1135</v>
      </c>
    </row>
    <row r="7" ht="25" customHeight="1">
      <c r="B7" s="9" t="str">
        <v>W3/Bilateral budget subtotal</v>
      </c>
      <c r="D7" s="9">
        <v>1421401</v>
      </c>
      <c r="E7" s="9" t="str">
        <v/>
      </c>
      <c r="F7" s="9" t="str">
        <v/>
      </c>
    </row>
  </sheetData>
  <mergeCells count="2">
    <mergeCell ref="B7:C7"/>
    <mergeCell ref="A2:A7"/>
  </mergeCells>
  <ignoredErrors>
    <ignoredError numberStoredAsText="1" sqref="A1:F7"/>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CIMMYT</v>
      </c>
      <c r="C2" s="4" t="str">
        <v>A5P12.1 PoD Name: Dynamic Learning and Adaptive Management Strategy — CIMMYT S4I Scaling Pathway Engagement</v>
      </c>
      <c r="D2" s="4" t="str">
        <v>1. Farmers adapt and adopt sustainable practices Climate Adaptation and Mitigation Nutrition, Health and Food Security 5. Partners use science for scaling 2. Scaling partners enable access to agrifood solutions Poverty Reduction, Livelihoods and Jobs</v>
      </c>
      <c r="E2" s="4" t="str">
        <v>N/A</v>
      </c>
      <c r="F2" s="5">
        <v>0</v>
      </c>
      <c r="G2" s="4" t="str">
        <v/>
      </c>
      <c r="H2" s="4">
        <v>509</v>
      </c>
    </row>
    <row r="3" ht="25" customHeight="1">
      <c r="C3" s="9" t="str">
        <v>MELIA budget subtotal</v>
      </c>
      <c r="F3" s="9">
        <v>0</v>
      </c>
      <c r="G3" s="9" t="str">
        <v/>
      </c>
      <c r="H3" s="9" t="str">
        <v/>
      </c>
    </row>
    <row r="4" ht="60" customHeight="1">
      <c r="A4" s="8" t="str">
        <v>AOW02: Grand Challenges and Scaling Flagships</v>
      </c>
      <c r="B4" s="4" t="str">
        <v>CIMMYT</v>
      </c>
      <c r="C4" s="4" t="str">
        <v>A5P12.1 PoD Name: Dynamic Learning and Adaptive Management Strategy — CIMMYT S4I Scaling Pathway Engagement</v>
      </c>
      <c r="D4" s="4" t="str">
        <v>1. Farmers adapt and adopt sustainable practices Climate Adaptation and Mitigation Nutrition, Health and Food Security 5. Partners use science for scaling 2. Scaling partners enable access to agrifood solutions Poverty Reduction, Livelihoods and Jobs</v>
      </c>
      <c r="E4" s="4" t="str">
        <v>N/A</v>
      </c>
      <c r="F4" s="5">
        <v>0</v>
      </c>
      <c r="G4" s="4" t="str">
        <v/>
      </c>
      <c r="H4" s="4">
        <v>525</v>
      </c>
    </row>
    <row r="5" ht="25" customHeight="1">
      <c r="C5" s="9" t="str">
        <v>MELIA budget subtotal</v>
      </c>
      <c r="F5" s="9">
        <v>0</v>
      </c>
      <c r="G5" s="9" t="str">
        <v/>
      </c>
      <c r="H5" s="9" t="str">
        <v/>
      </c>
    </row>
    <row r="6" ht="60" customHeight="1">
      <c r="A6" s="8" t="str">
        <v>AOW05: Learning for Impact</v>
      </c>
      <c r="B6" s="4" t="str">
        <v>CIMMYT</v>
      </c>
      <c r="C6" s="4" t="str">
        <v>A5P12.1 PoD Name: Dynamic Learning and Adaptive Management Strategy — CIMMYT S4I Scaling Pathway Engagement</v>
      </c>
      <c r="D6" s="4" t="str">
        <v>1. Farmers adapt and adopt sustainable practices Climate Adaptation and Mitigation Nutrition, Health and Food Security 5. Partners use science for scaling 2. Scaling partners enable access to agrifood solutions Poverty Reduction, Livelihoods and Jobs</v>
      </c>
      <c r="E6" s="4" t="str">
        <v>N/A</v>
      </c>
      <c r="F6" s="5">
        <v>40000</v>
      </c>
      <c r="G6" s="4" t="str">
        <v xml:space="preserve"> A5P12.1 PoD Name: Dynamic Learning and Adaptive Management Strategy — CIMMYT S4I Scaling Pathway Engagement</v>
      </c>
      <c r="H6" s="4">
        <v>493</v>
      </c>
    </row>
    <row r="7" ht="25" customHeight="1">
      <c r="C7" s="9" t="str">
        <v>MELIA budget subtotal</v>
      </c>
      <c r="F7" s="9">
        <v>40000</v>
      </c>
      <c r="G7" s="9" t="str">
        <v/>
      </c>
      <c r="H7" s="9" t="str">
        <v/>
      </c>
    </row>
  </sheetData>
  <mergeCells count="6">
    <mergeCell ref="C3:E3"/>
    <mergeCell ref="A2:A3"/>
    <mergeCell ref="C5:E5"/>
    <mergeCell ref="A4:A5"/>
    <mergeCell ref="C7:E7"/>
    <mergeCell ref="A6: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CIMMYT</v>
      </c>
      <c r="C2" s="4" t="str">
        <v>Area of Work Leads</v>
      </c>
      <c r="D2" s="5">
        <v>6000</v>
      </c>
      <c r="E2" s="4" t="str">
        <v>one leader AoW1-Q1 2026 FTE costs for Transitional Area of Work (AoW) Leaders at $6000 per leader</v>
      </c>
      <c r="F2" s="4">
        <v>165</v>
      </c>
      <c r="G2" s="4">
        <v>3</v>
      </c>
    </row>
    <row r="3" ht="45" customHeight="1">
      <c r="A3" s="4" t="str">
        <v>AOW00: Cross Cutting</v>
      </c>
      <c r="B3" s="4" t="str">
        <v>CIMMYT</v>
      </c>
      <c r="C3" s="4" t="str">
        <v>PMU, CGIAR Program Finance Support and associated Allocation</v>
      </c>
      <c r="D3" s="5">
        <v>11813</v>
      </c>
      <c r="E3" s="4" t="str">
        <v>Program Coordinator Support — Jan to mid-April 2026 ($11,813): Covers 3.5 months of Program Coordinator support during the transitional period from January through mid-April 2026, providing continuity in coordination and programme management functions ahead of full operational arrangements being confirmed.</v>
      </c>
      <c r="F3" s="4">
        <v>166</v>
      </c>
      <c r="G3" s="4">
        <v>2</v>
      </c>
    </row>
    <row r="4" ht="45" customHeight="1">
      <c r="A4" s="4" t="str">
        <v>AOW00: Cross Cutting</v>
      </c>
      <c r="B4" s="4" t="str">
        <v>CIMMYT</v>
      </c>
      <c r="C4" s="4" t="str">
        <v>Operations</v>
      </c>
      <c r="D4" s="5">
        <v>2500</v>
      </c>
      <c r="E4" s="4" t="str">
        <v>Workshops — Pause &amp; Reflection Session ($2,500): Covers the cost of Program Coordinator participation in the programme's Pause and Reflection (P&amp;R) session, including travel, accommodation, per diem, and any direct participation costs associated with attendance.</v>
      </c>
      <c r="F4" s="4">
        <v>167</v>
      </c>
      <c r="G4" s="4">
        <v>4</v>
      </c>
    </row>
    <row r="5" ht="25" customHeight="1">
      <c r="C5" s="9" t="str">
        <v>Cross-cutting budget subtotal</v>
      </c>
      <c r="D5" s="9">
        <v>20313</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17813</v>
      </c>
      <c r="C2" s="5">
        <v>231000</v>
      </c>
      <c r="D2" s="5">
        <v>1154849</v>
      </c>
      <c r="E2" s="5">
        <v>0</v>
      </c>
      <c r="F2" s="5">
        <v>84184</v>
      </c>
      <c r="G2" s="5">
        <v>0</v>
      </c>
      <c r="H2" s="5">
        <f>=SUM(B2:G2)</f>
        <v>0</v>
      </c>
    </row>
    <row r="3" ht="20" customHeight="1">
      <c r="A3" s="4" t="str">
        <v>Operations (supplies, consultants, travels, workshops, other)</v>
      </c>
      <c r="B3" s="5">
        <v>2500</v>
      </c>
      <c r="C3" s="5">
        <v>99000</v>
      </c>
      <c r="D3" s="5">
        <v>540962</v>
      </c>
      <c r="E3" s="5">
        <v>0</v>
      </c>
      <c r="F3" s="5">
        <v>51793</v>
      </c>
      <c r="G3" s="5">
        <v>40000</v>
      </c>
      <c r="H3" s="5">
        <f>=SUM(B3:G3)</f>
        <v>0</v>
      </c>
    </row>
    <row r="4" ht="20" customHeight="1">
      <c r="A4" s="4" t="str">
        <v>Collaborators non-CGIAR centers</v>
      </c>
      <c r="B4" s="5">
        <v>0</v>
      </c>
      <c r="C4" s="5">
        <v>0</v>
      </c>
      <c r="D4" s="5">
        <v>180000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CIMMYT</v>
      </c>
      <c r="C2" s="4" t="str">
        <v>Bangladesh</v>
      </c>
      <c r="D2" s="5">
        <v>70</v>
      </c>
      <c r="E2" s="4">
        <v>3237</v>
      </c>
    </row>
    <row r="3" ht="45" customHeight="1">
      <c r="A3" s="4" t="str">
        <v>AOW00: Cross Cutting</v>
      </c>
      <c r="B3" s="4" t="str">
        <v>CIMMYT</v>
      </c>
      <c r="C3" s="4" t="str">
        <v>Kenya</v>
      </c>
      <c r="D3" s="5">
        <v>30</v>
      </c>
      <c r="E3" s="4">
        <v>3238</v>
      </c>
    </row>
    <row r="4" ht="45" customHeight="1">
      <c r="A4" s="8" t="str">
        <v>AOW01: Engage and Empower</v>
      </c>
      <c r="B4" s="4" t="str">
        <v>CIMMYT</v>
      </c>
      <c r="C4" s="4" t="str">
        <v>Bangladesh</v>
      </c>
      <c r="D4" s="5">
        <v>70</v>
      </c>
      <c r="E4" s="4">
        <v>92</v>
      </c>
    </row>
    <row r="5" ht="45" customHeight="1">
      <c r="A5" s="4" t="str">
        <v>AOW01: Engage and Empower</v>
      </c>
      <c r="B5" s="4" t="str">
        <v>CIMMYT</v>
      </c>
      <c r="C5" s="4" t="str">
        <v>Kenya</v>
      </c>
      <c r="D5" s="5">
        <v>30</v>
      </c>
      <c r="E5" s="4">
        <v>93</v>
      </c>
    </row>
    <row r="6" ht="45" customHeight="1">
      <c r="A6" s="8" t="str">
        <v>AOW02: Grand Challenges and Scaling Flagships</v>
      </c>
      <c r="B6" s="4" t="str">
        <v>CIMMYT</v>
      </c>
      <c r="C6" s="4" t="str">
        <v>Bangladesh</v>
      </c>
      <c r="D6" s="5">
        <v>39.67</v>
      </c>
      <c r="E6" s="4">
        <v>1569</v>
      </c>
    </row>
    <row r="7" ht="45" customHeight="1">
      <c r="A7" s="4" t="str">
        <v>AOW02: Grand Challenges and Scaling Flagships</v>
      </c>
      <c r="B7" s="4" t="str">
        <v>CIMMYT</v>
      </c>
      <c r="C7" s="4" t="str">
        <v>Cameroon</v>
      </c>
      <c r="D7" s="5">
        <v>1.22</v>
      </c>
      <c r="E7" s="4">
        <v>1577</v>
      </c>
    </row>
    <row r="8" ht="45" customHeight="1">
      <c r="A8" s="4" t="str">
        <v>AOW02: Grand Challenges and Scaling Flagships</v>
      </c>
      <c r="B8" s="4" t="str">
        <v>CIMMYT</v>
      </c>
      <c r="C8" s="4" t="str">
        <v>Côte d'Ivoire</v>
      </c>
      <c r="D8" s="5">
        <v>1.22</v>
      </c>
      <c r="E8" s="4">
        <v>1576</v>
      </c>
    </row>
    <row r="9" ht="45" customHeight="1">
      <c r="A9" s="4" t="str">
        <v>AOW02: Grand Challenges and Scaling Flagships</v>
      </c>
      <c r="B9" s="4" t="str">
        <v>CIMMYT</v>
      </c>
      <c r="C9" s="4" t="str">
        <v>Ethiopia</v>
      </c>
      <c r="D9" s="5">
        <v>1.47</v>
      </c>
      <c r="E9" s="4">
        <v>1575</v>
      </c>
    </row>
    <row r="10" ht="45" customHeight="1">
      <c r="A10" s="4" t="str">
        <v>AOW02: Grand Challenges and Scaling Flagships</v>
      </c>
      <c r="B10" s="4" t="str">
        <v>CIMMYT</v>
      </c>
      <c r="C10" s="4" t="str">
        <v>Gambia</v>
      </c>
      <c r="D10" s="5">
        <v>1.22</v>
      </c>
      <c r="E10" s="4">
        <v>1574</v>
      </c>
    </row>
    <row r="11" ht="45" customHeight="1">
      <c r="A11" s="4" t="str">
        <v>AOW02: Grand Challenges and Scaling Flagships</v>
      </c>
      <c r="B11" s="4" t="str">
        <v>CIMMYT</v>
      </c>
      <c r="C11" s="4" t="str">
        <v>India</v>
      </c>
      <c r="D11" s="5">
        <v>4.89</v>
      </c>
      <c r="E11" s="4">
        <v>1573</v>
      </c>
    </row>
    <row r="12" ht="45" customHeight="1">
      <c r="A12" s="4" t="str">
        <v>AOW02: Grand Challenges and Scaling Flagships</v>
      </c>
      <c r="B12" s="4" t="str">
        <v>CIMMYT</v>
      </c>
      <c r="C12" s="4" t="str">
        <v>Malawi</v>
      </c>
      <c r="D12" s="5">
        <v>9.96</v>
      </c>
      <c r="E12" s="4">
        <v>1572</v>
      </c>
    </row>
    <row r="13" ht="45" customHeight="1">
      <c r="A13" s="4" t="str">
        <v>AOW02: Grand Challenges and Scaling Flagships</v>
      </c>
      <c r="B13" s="4" t="str">
        <v>CIMMYT</v>
      </c>
      <c r="C13" s="4" t="str">
        <v>Nepal</v>
      </c>
      <c r="D13" s="5">
        <v>21.09</v>
      </c>
      <c r="E13" s="4">
        <v>1570</v>
      </c>
    </row>
    <row r="14" ht="45" customHeight="1">
      <c r="A14" s="4" t="str">
        <v>AOW02: Grand Challenges and Scaling Flagships</v>
      </c>
      <c r="B14" s="4" t="str">
        <v>CIMMYT</v>
      </c>
      <c r="C14" s="4" t="str">
        <v>Nigeria</v>
      </c>
      <c r="D14" s="5">
        <v>1.22</v>
      </c>
      <c r="E14" s="4">
        <v>1578</v>
      </c>
    </row>
    <row r="15" ht="45" customHeight="1">
      <c r="A15" s="4" t="str">
        <v>AOW02: Grand Challenges and Scaling Flagships</v>
      </c>
      <c r="B15" s="4" t="str">
        <v>CIMMYT</v>
      </c>
      <c r="C15" s="4" t="str">
        <v>Zambia</v>
      </c>
      <c r="D15" s="5">
        <v>15.99</v>
      </c>
      <c r="E15" s="4">
        <v>1571</v>
      </c>
    </row>
    <row r="16" ht="45" customHeight="1">
      <c r="A16" s="4" t="str">
        <v>AOW02: Grand Challenges and Scaling Flagships</v>
      </c>
      <c r="B16" s="4" t="str">
        <v>CIMMYT</v>
      </c>
      <c r="C16" s="4" t="str">
        <v>Zimbabwe</v>
      </c>
      <c r="D16" s="5">
        <v>2.05</v>
      </c>
      <c r="E16" s="4">
        <v>1579</v>
      </c>
    </row>
    <row r="17" ht="45" customHeight="1">
      <c r="A17" s="8" t="str">
        <v>AOW04: Achieving Impact by Unlocking Finance and Partnerships</v>
      </c>
      <c r="B17" s="4" t="str">
        <v>CIMMYT</v>
      </c>
      <c r="C17" s="4" t="str">
        <v>Bangladesh</v>
      </c>
      <c r="D17" s="5">
        <v>33</v>
      </c>
      <c r="E17" s="4">
        <v>1750</v>
      </c>
    </row>
    <row r="18" ht="45" customHeight="1">
      <c r="A18" s="4" t="str">
        <v>AOW04: Achieving Impact by Unlocking Finance and Partnerships</v>
      </c>
      <c r="B18" s="4" t="str">
        <v>CIMMYT</v>
      </c>
      <c r="C18" s="4" t="str">
        <v>Egypt</v>
      </c>
      <c r="D18" s="5">
        <v>34</v>
      </c>
      <c r="E18" s="4">
        <v>1749</v>
      </c>
    </row>
    <row r="19" ht="45" customHeight="1">
      <c r="A19" s="4" t="str">
        <v>AOW04: Achieving Impact by Unlocking Finance and Partnerships</v>
      </c>
      <c r="B19" s="4" t="str">
        <v>CIMMYT</v>
      </c>
      <c r="C19" s="4" t="str">
        <v>Morocco</v>
      </c>
      <c r="D19" s="5">
        <v>33</v>
      </c>
      <c r="E19" s="4">
        <v>1751</v>
      </c>
    </row>
    <row r="20" ht="45" customHeight="1">
      <c r="A20" s="8" t="str">
        <v>AOW05: Learning for Impact</v>
      </c>
      <c r="B20" s="4" t="str">
        <v>CIMMYT</v>
      </c>
      <c r="C20" s="4" t="str">
        <v>Bangladesh</v>
      </c>
      <c r="D20" s="5">
        <v>50</v>
      </c>
      <c r="E20" s="4">
        <v>3048</v>
      </c>
    </row>
    <row r="21" ht="45" customHeight="1">
      <c r="A21" s="4" t="str">
        <v>AOW05: Learning for Impact</v>
      </c>
      <c r="B21" s="4" t="str">
        <v>CIMMYT</v>
      </c>
      <c r="C21" s="4" t="str">
        <v>Nepal</v>
      </c>
      <c r="D21" s="5">
        <v>25</v>
      </c>
      <c r="E21" s="4">
        <v>3049</v>
      </c>
    </row>
    <row r="22" ht="45" customHeight="1">
      <c r="A22" s="4" t="str">
        <v>AOW05: Learning for Impact</v>
      </c>
      <c r="B22" s="4" t="str">
        <v>CIMMYT</v>
      </c>
      <c r="C22" s="4" t="str">
        <v>Zimbabwe</v>
      </c>
      <c r="D22" s="5">
        <v>25</v>
      </c>
      <c r="E22" s="4">
        <v>3050</v>
      </c>
    </row>
  </sheetData>
  <mergeCells count="5">
    <mergeCell ref="A2:A3"/>
    <mergeCell ref="A4:A5"/>
    <mergeCell ref="A6:A16"/>
    <mergeCell ref="A17:A19"/>
    <mergeCell ref="A20:A22"/>
  </mergeCells>
  <ignoredErrors>
    <ignoredError numberStoredAsText="1" sqref="A1:E22"/>
  </ignoredErrors>
</worksheet>
</file>

<file path=xl/worksheets/sheet9.xml><?xml version="1.0" encoding="utf-8"?>
<worksheet xmlns="http://schemas.openxmlformats.org/spreadsheetml/2006/main" xmlns:r="http://schemas.openxmlformats.org/officeDocument/2006/relationships">
  <dimension ref="A1:F2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CIMMYT</v>
      </c>
      <c r="C2" s="4" t="str">
        <v>Global</v>
      </c>
      <c r="D2" s="4" t="str">
        <v>global</v>
      </c>
      <c r="E2" s="5">
        <v>100</v>
      </c>
      <c r="F2" s="4">
        <v>1475</v>
      </c>
    </row>
    <row r="3" ht="45" customHeight="1">
      <c r="A3" s="8" t="str">
        <v>AOW01: Engage and Empower</v>
      </c>
      <c r="B3" s="4" t="str">
        <v>CIMMYT</v>
      </c>
      <c r="C3" s="4" t="str">
        <v>Global</v>
      </c>
      <c r="D3" s="4" t="str">
        <v>global</v>
      </c>
      <c r="E3" s="5">
        <v>0</v>
      </c>
      <c r="F3" s="4">
        <v>96</v>
      </c>
    </row>
    <row r="4" ht="45" customHeight="1">
      <c r="A4" s="4" t="str">
        <v>AOW01: Engage and Empower</v>
      </c>
      <c r="B4" s="4" t="str">
        <v>CIMMYT</v>
      </c>
      <c r="C4" s="4" t="str">
        <v>Bangladesh</v>
      </c>
      <c r="D4" s="4" t="str">
        <v>country</v>
      </c>
      <c r="E4" s="5">
        <v>70</v>
      </c>
      <c r="F4" s="4">
        <v>99</v>
      </c>
    </row>
    <row r="5" ht="45" customHeight="1">
      <c r="A5" s="4" t="str">
        <v>AOW01: Engage and Empower</v>
      </c>
      <c r="B5" s="4" t="str">
        <v>CIMMYT</v>
      </c>
      <c r="C5" s="4" t="str">
        <v>Kenya</v>
      </c>
      <c r="D5" s="4" t="str">
        <v>country</v>
      </c>
      <c r="E5" s="5">
        <v>30</v>
      </c>
      <c r="F5" s="4">
        <v>98</v>
      </c>
    </row>
    <row r="6" ht="45" customHeight="1">
      <c r="A6" s="8" t="str">
        <v>AOW02: Grand Challenges and Scaling Flagships</v>
      </c>
      <c r="B6" s="4" t="str">
        <v>CIMMYT</v>
      </c>
      <c r="C6" s="4" t="str">
        <v>Bangladesh</v>
      </c>
      <c r="D6" s="4" t="str">
        <v>country</v>
      </c>
      <c r="E6" s="5">
        <v>39.67</v>
      </c>
      <c r="F6" s="4">
        <v>543</v>
      </c>
    </row>
    <row r="7" ht="45" customHeight="1">
      <c r="A7" s="4" t="str">
        <v>AOW02: Grand Challenges and Scaling Flagships</v>
      </c>
      <c r="B7" s="4" t="str">
        <v>CIMMYT</v>
      </c>
      <c r="C7" s="4" t="str">
        <v>Cameroon</v>
      </c>
      <c r="D7" s="4" t="str">
        <v>country</v>
      </c>
      <c r="E7" s="5">
        <v>1.22</v>
      </c>
      <c r="F7" s="4">
        <v>552</v>
      </c>
    </row>
    <row r="8" ht="45" customHeight="1">
      <c r="A8" s="4" t="str">
        <v>AOW02: Grand Challenges and Scaling Flagships</v>
      </c>
      <c r="B8" s="4" t="str">
        <v>CIMMYT</v>
      </c>
      <c r="C8" s="4" t="str">
        <v>Côte d'Ivoire</v>
      </c>
      <c r="D8" s="4" t="str">
        <v>country</v>
      </c>
      <c r="E8" s="5">
        <v>1.22</v>
      </c>
      <c r="F8" s="4">
        <v>551</v>
      </c>
    </row>
    <row r="9" ht="45" customHeight="1">
      <c r="A9" s="4" t="str">
        <v>AOW02: Grand Challenges and Scaling Flagships</v>
      </c>
      <c r="B9" s="4" t="str">
        <v>CIMMYT</v>
      </c>
      <c r="C9" s="4" t="str">
        <v>Ethiopia</v>
      </c>
      <c r="D9" s="4" t="str">
        <v>country</v>
      </c>
      <c r="E9" s="5">
        <v>1.47</v>
      </c>
      <c r="F9" s="4">
        <v>549</v>
      </c>
    </row>
    <row r="10" ht="45" customHeight="1">
      <c r="A10" s="4" t="str">
        <v>AOW02: Grand Challenges and Scaling Flagships</v>
      </c>
      <c r="B10" s="4" t="str">
        <v>CIMMYT</v>
      </c>
      <c r="C10" s="4" t="str">
        <v>Gambia</v>
      </c>
      <c r="D10" s="4" t="str">
        <v>country</v>
      </c>
      <c r="E10" s="5">
        <v>1.22</v>
      </c>
      <c r="F10" s="4">
        <v>550</v>
      </c>
    </row>
    <row r="11" ht="45" customHeight="1">
      <c r="A11" s="4" t="str">
        <v>AOW02: Grand Challenges and Scaling Flagships</v>
      </c>
      <c r="B11" s="4" t="str">
        <v>CIMMYT</v>
      </c>
      <c r="C11" s="4" t="str">
        <v>India</v>
      </c>
      <c r="D11" s="4" t="str">
        <v>country</v>
      </c>
      <c r="E11" s="5">
        <v>4.89</v>
      </c>
      <c r="F11" s="4">
        <v>547</v>
      </c>
    </row>
    <row r="12" ht="45" customHeight="1">
      <c r="A12" s="4" t="str">
        <v>AOW02: Grand Challenges and Scaling Flagships</v>
      </c>
      <c r="B12" s="4" t="str">
        <v>CIMMYT</v>
      </c>
      <c r="C12" s="4" t="str">
        <v>Malawi</v>
      </c>
      <c r="D12" s="4" t="str">
        <v>country</v>
      </c>
      <c r="E12" s="5">
        <v>9.96</v>
      </c>
      <c r="F12" s="4">
        <v>546</v>
      </c>
    </row>
    <row r="13" ht="45" customHeight="1">
      <c r="A13" s="4" t="str">
        <v>AOW02: Grand Challenges and Scaling Flagships</v>
      </c>
      <c r="B13" s="4" t="str">
        <v>CIMMYT</v>
      </c>
      <c r="C13" s="4" t="str">
        <v>Nepal</v>
      </c>
      <c r="D13" s="4" t="str">
        <v>country</v>
      </c>
      <c r="E13" s="5">
        <v>21.09</v>
      </c>
      <c r="F13" s="4">
        <v>544</v>
      </c>
    </row>
    <row r="14" ht="45" customHeight="1">
      <c r="A14" s="4" t="str">
        <v>AOW02: Grand Challenges and Scaling Flagships</v>
      </c>
      <c r="B14" s="4" t="str">
        <v>CIMMYT</v>
      </c>
      <c r="C14" s="4" t="str">
        <v>Nigeria</v>
      </c>
      <c r="D14" s="4" t="str">
        <v>country</v>
      </c>
      <c r="E14" s="5">
        <v>1.22</v>
      </c>
      <c r="F14" s="4">
        <v>553</v>
      </c>
    </row>
    <row r="15" ht="45" customHeight="1">
      <c r="A15" s="4" t="str">
        <v>AOW02: Grand Challenges and Scaling Flagships</v>
      </c>
      <c r="B15" s="4" t="str">
        <v>CIMMYT</v>
      </c>
      <c r="C15" s="4" t="str">
        <v>Zambia</v>
      </c>
      <c r="D15" s="4" t="str">
        <v>country</v>
      </c>
      <c r="E15" s="5">
        <v>15.99</v>
      </c>
      <c r="F15" s="4">
        <v>545</v>
      </c>
    </row>
    <row r="16" ht="45" customHeight="1">
      <c r="A16" s="4" t="str">
        <v>AOW02: Grand Challenges and Scaling Flagships</v>
      </c>
      <c r="B16" s="4" t="str">
        <v>CIMMYT</v>
      </c>
      <c r="C16" s="4" t="str">
        <v>Zimbabwe</v>
      </c>
      <c r="D16" s="4" t="str">
        <v>country</v>
      </c>
      <c r="E16" s="5">
        <v>2.05</v>
      </c>
      <c r="F16" s="4">
        <v>548</v>
      </c>
    </row>
    <row r="17" ht="45" customHeight="1">
      <c r="A17" s="8" t="str">
        <v>AOW04: Achieving Impact by Unlocking Finance and Partnerships</v>
      </c>
      <c r="B17" s="4" t="str">
        <v>CIMMYT</v>
      </c>
      <c r="C17" s="4" t="str">
        <v>Bangladesh</v>
      </c>
      <c r="D17" s="4" t="str">
        <v>country</v>
      </c>
      <c r="E17" s="5">
        <v>33</v>
      </c>
      <c r="F17" s="4">
        <v>606</v>
      </c>
    </row>
    <row r="18" ht="45" customHeight="1">
      <c r="A18" s="4" t="str">
        <v>AOW04: Achieving Impact by Unlocking Finance and Partnerships</v>
      </c>
      <c r="B18" s="4" t="str">
        <v>CIMMYT</v>
      </c>
      <c r="C18" s="4" t="str">
        <v>Egypt</v>
      </c>
      <c r="D18" s="4" t="str">
        <v>country</v>
      </c>
      <c r="E18" s="5">
        <v>34</v>
      </c>
      <c r="F18" s="4">
        <v>607</v>
      </c>
    </row>
    <row r="19" ht="45" customHeight="1">
      <c r="A19" s="4" t="str">
        <v>AOW04: Achieving Impact by Unlocking Finance and Partnerships</v>
      </c>
      <c r="B19" s="4" t="str">
        <v>CIMMYT</v>
      </c>
      <c r="C19" s="4" t="str">
        <v>Morocco</v>
      </c>
      <c r="D19" s="4" t="str">
        <v>country</v>
      </c>
      <c r="E19" s="5">
        <v>33</v>
      </c>
      <c r="F19" s="4">
        <v>608</v>
      </c>
    </row>
    <row r="20" ht="45" customHeight="1">
      <c r="A20" s="8" t="str">
        <v>AOW05: Learning for Impact</v>
      </c>
      <c r="B20" s="4" t="str">
        <v>CIMMYT</v>
      </c>
      <c r="C20" s="4" t="str">
        <v>Bangladesh</v>
      </c>
      <c r="D20" s="4" t="str">
        <v>country</v>
      </c>
      <c r="E20" s="5">
        <v>50</v>
      </c>
      <c r="F20" s="4">
        <v>1196</v>
      </c>
    </row>
    <row r="21" ht="45" customHeight="1">
      <c r="A21" s="4" t="str">
        <v>AOW05: Learning for Impact</v>
      </c>
      <c r="B21" s="4" t="str">
        <v>CIMMYT</v>
      </c>
      <c r="C21" s="4" t="str">
        <v>Nepal</v>
      </c>
      <c r="D21" s="4" t="str">
        <v>country</v>
      </c>
      <c r="E21" s="5">
        <v>25</v>
      </c>
      <c r="F21" s="4">
        <v>1197</v>
      </c>
    </row>
    <row r="22" ht="45" customHeight="1">
      <c r="A22" s="4" t="str">
        <v>AOW05: Learning for Impact</v>
      </c>
      <c r="B22" s="4" t="str">
        <v>CIMMYT</v>
      </c>
      <c r="C22" s="4" t="str">
        <v>Zimbabwe</v>
      </c>
      <c r="D22" s="4" t="str">
        <v>country</v>
      </c>
      <c r="E22" s="5">
        <v>25</v>
      </c>
      <c r="F22" s="4">
        <v>1198</v>
      </c>
    </row>
  </sheetData>
  <mergeCells count="5">
    <mergeCell ref="A2"/>
    <mergeCell ref="A3:A5"/>
    <mergeCell ref="A6:A16"/>
    <mergeCell ref="A17:A19"/>
    <mergeCell ref="A20:A22"/>
  </mergeCells>
  <ignoredErrors>
    <ignoredError numberStoredAsText="1" sqref="A1:F22"/>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