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128572</v>
      </c>
      <c r="K4" s="5">
        <v>128572</v>
      </c>
      <c r="L4" s="5">
        <v>0</v>
      </c>
      <c r="M4" s="5">
        <v>0</v>
      </c>
      <c r="N4" s="4">
        <v>206</v>
      </c>
    </row>
    <row r="5" ht="20" customHeight="1">
      <c r="A5" s="4" t="str">
        <v>AOW01: Engage and Empower</v>
      </c>
      <c r="B5" s="5">
        <v>0</v>
      </c>
      <c r="C5" s="5">
        <v>0</v>
      </c>
      <c r="D5" s="5">
        <v>0</v>
      </c>
      <c r="E5" s="5">
        <v>0</v>
      </c>
      <c r="F5" s="5">
        <v>0</v>
      </c>
      <c r="G5" s="5">
        <v>0</v>
      </c>
      <c r="H5" s="5">
        <v>0</v>
      </c>
      <c r="I5" s="5">
        <v>0</v>
      </c>
      <c r="J5" s="5">
        <v>0</v>
      </c>
      <c r="K5" s="5">
        <v>0</v>
      </c>
      <c r="L5" s="5">
        <v>0</v>
      </c>
      <c r="M5" s="5">
        <v>0</v>
      </c>
      <c r="N5" s="4">
        <v>205</v>
      </c>
    </row>
    <row r="6" ht="20" customHeight="1">
      <c r="A6" s="4" t="str">
        <v>AOW02: Grand Challenges and Scaling Flagships</v>
      </c>
      <c r="B6" s="5">
        <v>7</v>
      </c>
      <c r="C6" s="5">
        <v>109425</v>
      </c>
      <c r="D6" s="5">
        <v>4</v>
      </c>
      <c r="E6" s="5">
        <v>98018</v>
      </c>
      <c r="F6" s="5">
        <v>1324</v>
      </c>
      <c r="G6" s="5">
        <v>109425</v>
      </c>
      <c r="H6" s="5">
        <v>0</v>
      </c>
      <c r="I6" s="5">
        <v>0</v>
      </c>
      <c r="J6" s="5">
        <v>316868</v>
      </c>
      <c r="K6" s="5">
        <v>316868</v>
      </c>
      <c r="L6" s="5">
        <v>30000</v>
      </c>
      <c r="M6" s="5">
        <v>0</v>
      </c>
      <c r="N6" s="4">
        <v>201</v>
      </c>
    </row>
    <row r="7" ht="20" customHeight="1">
      <c r="A7" s="4" t="str">
        <v>AOW03: Enabling Environment Lab</v>
      </c>
      <c r="B7" s="5">
        <v>0</v>
      </c>
      <c r="C7" s="5">
        <v>0</v>
      </c>
      <c r="D7" s="5">
        <v>1</v>
      </c>
      <c r="E7" s="5">
        <v>96078</v>
      </c>
      <c r="F7" s="5">
        <v>4</v>
      </c>
      <c r="G7" s="5">
        <v>126103</v>
      </c>
      <c r="H7" s="5">
        <v>0</v>
      </c>
      <c r="I7" s="5">
        <v>0</v>
      </c>
      <c r="J7" s="5">
        <v>222181</v>
      </c>
      <c r="K7" s="5">
        <v>222181</v>
      </c>
      <c r="L7" s="5">
        <v>0</v>
      </c>
      <c r="M7" s="5">
        <v>0</v>
      </c>
      <c r="N7" s="4">
        <v>203</v>
      </c>
    </row>
    <row r="8" ht="20" customHeight="1">
      <c r="A8" s="4" t="str">
        <v>AOW04: Achieving Impact by Unlocking Finance and Partnerships</v>
      </c>
      <c r="B8" s="5">
        <v>2</v>
      </c>
      <c r="C8" s="5">
        <v>70652</v>
      </c>
      <c r="D8" s="5">
        <v>13</v>
      </c>
      <c r="E8" s="5">
        <v>396735</v>
      </c>
      <c r="F8" s="5">
        <v>0</v>
      </c>
      <c r="G8" s="5">
        <v>0</v>
      </c>
      <c r="H8" s="5">
        <v>5</v>
      </c>
      <c r="I8" s="5">
        <v>74838</v>
      </c>
      <c r="J8" s="5">
        <v>542225</v>
      </c>
      <c r="K8" s="5">
        <v>542225</v>
      </c>
      <c r="L8" s="5">
        <v>0</v>
      </c>
      <c r="M8" s="5">
        <v>0</v>
      </c>
      <c r="N8" s="4">
        <v>202</v>
      </c>
    </row>
    <row r="9" ht="20" customHeight="1">
      <c r="A9" s="4" t="str">
        <v>AOW05: Learning for Impact</v>
      </c>
      <c r="B9" s="5">
        <v>1</v>
      </c>
      <c r="C9" s="5">
        <v>10000</v>
      </c>
      <c r="D9" s="5">
        <v>6</v>
      </c>
      <c r="E9" s="5">
        <v>168864</v>
      </c>
      <c r="F9" s="5">
        <v>169</v>
      </c>
      <c r="G9" s="5">
        <v>625957</v>
      </c>
      <c r="H9" s="5">
        <v>27</v>
      </c>
      <c r="I9" s="5">
        <v>299500</v>
      </c>
      <c r="J9" s="5">
        <v>1104321</v>
      </c>
      <c r="K9" s="5">
        <v>1104321</v>
      </c>
      <c r="L9" s="5">
        <v>168250</v>
      </c>
      <c r="M9" s="5">
        <v>25000</v>
      </c>
      <c r="N9" s="4">
        <v>204</v>
      </c>
    </row>
    <row r="10" ht="25" customHeight="1">
      <c r="A10" s="6" t="str">
        <v>Total</v>
      </c>
      <c r="B10" s="7" t="str">
        <v/>
      </c>
      <c r="C10" s="7">
        <v>190077</v>
      </c>
      <c r="D10" s="7" t="str">
        <v/>
      </c>
      <c r="E10" s="7">
        <v>759695</v>
      </c>
      <c r="F10" s="7" t="str">
        <v/>
      </c>
      <c r="G10" s="7">
        <v>861485</v>
      </c>
      <c r="H10" s="7" t="str">
        <v/>
      </c>
      <c r="I10" s="7">
        <v>374338</v>
      </c>
      <c r="J10" s="7">
        <v>2314167</v>
      </c>
      <c r="K10" s="7">
        <v>2314167</v>
      </c>
      <c r="L10" s="7">
        <v>198250</v>
      </c>
      <c r="M10" s="7">
        <v>25000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Grand Challenges and Scaling Flagships</v>
      </c>
      <c r="B3" s="4" t="str">
        <v>ILRI</v>
      </c>
      <c r="C3" s="4" t="str">
        <v>HLO 2.2.1: Climate smart innovations</v>
      </c>
      <c r="D3" s="4" t="str">
        <v>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 s="4" t="str">
        <v>Number of innovations (innovation development)</v>
      </c>
      <c r="F3" s="4" t="str">
        <v>Kenya</v>
      </c>
      <c r="G3" s="5">
        <v>1</v>
      </c>
      <c r="H3" s="5">
        <v>26617</v>
      </c>
      <c r="I3" s="4" t="str">
        <v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v>
      </c>
      <c r="J3" s="4">
        <v>5894</v>
      </c>
    </row>
    <row r="4" ht="50" customHeight="1">
      <c r="B4" s="4" t="str">
        <v>ILRI</v>
      </c>
      <c r="D4" s="4" t="str">
        <v>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4" s="4" t="str">
        <v>Number of people trained (capacity sharing for development)</v>
      </c>
      <c r="F4" s="4" t="str">
        <v>Kenya</v>
      </c>
      <c r="G4" s="5">
        <v>1150</v>
      </c>
      <c r="H4" s="5">
        <v>26617</v>
      </c>
      <c r="I4" s="4" t="str">
        <v>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v>
      </c>
      <c r="J4" s="4">
        <v>5909</v>
      </c>
    </row>
    <row r="5" ht="50" customHeight="1" xml:space="preserve">
      <c r="A5" s="4" t="str">
        <v>AOW02: Grand Challenges and Scaling Flagships</v>
      </c>
      <c r="B5" s="4" t="str">
        <v>ILRI</v>
      </c>
      <c r="C5" s="4" t="str">
        <v>HLO 2.2.3: Market, policy and behavior change innovations</v>
      </c>
      <c r="D5" s="4" t="str">
        <v>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5" s="4" t="str">
        <v>Number of knowledge products</v>
      </c>
      <c r="F5" s="4" t="str">
        <v>Ethiopia, Zambia</v>
      </c>
      <c r="G5" s="5">
        <v>4</v>
      </c>
      <c r="H5" s="5">
        <v>98018</v>
      </c>
      <c r="I5" s="4" t="str" xml:space="preserve">
        <v xml:space="preserve">4 Knowledge products (2 technical reports on forage scaling + 2 innovation packaging reports) that contribute for Fifty-three thousand two hundred thirty-four smallholder farmers adopting forage-based feed innovations by end-2026.
 15,210 	Top-off to Lead centre first KPI
</v>
      </c>
      <c r="J5" s="4">
        <v>5969</v>
      </c>
    </row>
    <row r="6" ht="50" customHeight="1">
      <c r="B6" s="4" t="str">
        <v>ILRI</v>
      </c>
      <c r="D6" s="4" t="str">
        <v>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6" s="4" t="str">
        <v>Number of innovations (innovation development)</v>
      </c>
      <c r="F6" s="4" t="str">
        <v>Zambia, Ethiopia</v>
      </c>
      <c r="G6" s="5">
        <v>6</v>
      </c>
      <c r="H6" s="5">
        <v>82808</v>
      </c>
      <c r="I6" s="4" t="str">
        <v>6 Innovation Developed (1 maize‑forage legume integration bundle (Ethiopia) + 5 registered forage‑based livestock diets (Zambia)) that contribute for Fifty-three thousand two hundred thirty-four smallholder farmers adopting forage-based feed innovations by end-2026</v>
      </c>
      <c r="J6" s="4">
        <v>7793</v>
      </c>
    </row>
    <row r="7" ht="50" customHeight="1">
      <c r="B7" s="4" t="str">
        <v>ILRI</v>
      </c>
      <c r="D7" s="4" t="str">
        <v>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7" s="4" t="str">
        <v>Number of people trained (capacity sharing for development)</v>
      </c>
      <c r="F7" s="4" t="str">
        <v>Zambia, Ethiopia</v>
      </c>
      <c r="G7" s="5">
        <v>174</v>
      </c>
      <c r="H7" s="5">
        <v>82808</v>
      </c>
      <c r="I7" s="4" t="str">
        <v xml:space="preserve">174 Individuals trainned (70 extension officers, 2 private forage seed suppliers, + 100 extension agents, 2 agro‑dealers (Zambia)) that contribute for Fifty-three thousand two hundred thirty-four smallholder farmers adopting forage-based feed innovations by end-2026. </v>
      </c>
      <c r="J7" s="4">
        <v>7795</v>
      </c>
    </row>
    <row r="8" ht="25" customHeight="1">
      <c r="C8" s="9" t="str">
        <v>HLO budget subtotal</v>
      </c>
      <c r="H8" s="9">
        <v>316868</v>
      </c>
      <c r="J8" s="9" t="str">
        <v/>
      </c>
    </row>
    <row r="9" ht="50" customHeight="1" xml:space="preserve">
      <c r="A9" s="8" t="str">
        <v>AOW03: Enabling Environment Lab</v>
      </c>
      <c r="B9" s="4" t="str">
        <v>ILRI</v>
      </c>
      <c r="C9" s="4" t="str">
        <v xml:space="preserve">HLO 3.3.2: Scaling support services for enabling environment and institutions </v>
      </c>
      <c r="D9" s="4" t="str" xml:space="preserve">
        <v xml:space="preserve">A3P13.2 FCDO : PoD name: Advancing Conflict-Sensitive Scaling Pathways in Fragile Contexts through Structured Technical Support and Partnerships. KPI Title: FCAS Scaling Model and Toolbox. Lead Center: ILRI. PoD KPI: 1 – FCAS Scaling Model and Toolbox. Produce a WFP validated FCAS Scaling Model synthesizing lessons from 4 case studies, plus a toolbox containing at least 3 practical resources (e.g., risk checklist, partnership template, conflict-sensitivity guide). KPI type: Knowledge product. Unit: Model. Target: 1. Geographic location: Nigeria, Ethiopia. Responsible Center: ILRI. KPI Owner: Nicoletta Buono. Partners: WFP. Budget (USD): 106,667. Total Budget (USD): 106,667. MELIA: Monitoring, evaluation, and learning plans will be developed in early 2026 in cooperation with the S4I PMU and/or AoW‑5, and where needed will include baseline assessments and indicator tracking and reporting in line with Program and CGIAR guidelines.
</v>
      </c>
      <c r="E9" s="4" t="str">
        <v>Number of knowledge products</v>
      </c>
      <c r="F9" s="4" t="str">
        <v>Ethiopia, Nigeria</v>
      </c>
      <c r="G9" s="5">
        <v>1</v>
      </c>
      <c r="H9" s="5">
        <v>96078</v>
      </c>
      <c r="I9" s="4" t="str">
        <v xml:space="preserve">1 – FCAS Scaling Model and Toolbox. Produce a WFP validated FCAS Scaling Model synthesizing lessons from 4 case studies, plus a toolbox containing at least 3 practical resources </v>
      </c>
      <c r="J9" s="4">
        <v>8120</v>
      </c>
    </row>
    <row r="10" ht="50" customHeight="1">
      <c r="B10" s="4" t="str">
        <v>ILRI</v>
      </c>
      <c r="D10" s="4" t="str">
        <v>A3P13.1 FCDO: PoD name: Advancing Conflict-Sensitive Scaling Pathways in Fragile Contexts through Structured Technical Support and Partnerships. KPI Title: Technical Assistance for SMEs. Lead Center: ILRI. PoD KPI: 4 SMEs – Technical Assistance for SMEs. Deliver tailored conflict-sensitive TA packages to 4 SMEs in collaboration with WFP. Each package must include documented support in at least two areas: risk assessment, business model adaptation, pathway design, or partnership brokering. KPI type: Capacity sharing for development. Unit: SMEs. Target: 4. Geographic location: Nigeria, Ethiopia. Responsible Center: ILRI. KPI Owner: Nicoletta Buono. Partners: WFP. Budget (USD): 140,000. Total Budget (USD): 140,000. Remark: Innovation adoption can be tracked as a secondary outcome metric.</v>
      </c>
      <c r="E10" s="4" t="str">
        <v>Number of people trained (capacity sharing for development)</v>
      </c>
      <c r="F10" s="4" t="str">
        <v>Nigeria, Ethiopia</v>
      </c>
      <c r="G10" s="5">
        <v>4</v>
      </c>
      <c r="H10" s="5">
        <v>126103</v>
      </c>
      <c r="I10" s="4" t="str">
        <v xml:space="preserve">4 SMEs – Technical Assistance for SMEs. Deliver tailored conflict-sensitive TA packages to 4 SMEs in collaboration with WFP. Each package must include documented support in at least two areas: risk assessment, business model adaptation, pathway design, or partnership brokering. </v>
      </c>
      <c r="J10" s="4">
        <v>8132</v>
      </c>
    </row>
    <row r="11" ht="25" customHeight="1">
      <c r="C11" s="9" t="str">
        <v>HLO budget subtotal</v>
      </c>
      <c r="H11" s="9">
        <v>222181</v>
      </c>
      <c r="J11" s="9" t="str">
        <v/>
      </c>
    </row>
    <row r="12" ht="50" customHeight="1">
      <c r="A12" s="8" t="str">
        <v>AOW04: Achieving Impact by Unlocking Finance and Partnerships</v>
      </c>
      <c r="B12" s="4" t="str">
        <v>ILRI</v>
      </c>
      <c r="C12" s="4" t="str">
        <v>HLO 4.4.1: Technical assistance for financing for innovation scaling</v>
      </c>
      <c r="D12" s="4" t="str">
        <v>CRITICAL CAPABILITY: A4ILRI-CC-1-PoD name: Poultry Solution Scaling Delivery Strategy. Lead Center: ILRI. PoD KPI: 5 – Five Partnership- eight partners cumulatively adopting advanced technologies in the poultry sector by the end of 2026 in Kenya. Suggested Disaggregation: Not applicable, as the KPI counts institutional partners rather than individuals. Indicator type: Other output. Unit: Number of partnerships.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v>
      </c>
      <c r="E12" s="4" t="str">
        <v>custom</v>
      </c>
      <c r="F12" s="4" t="str">
        <v>Kenya</v>
      </c>
      <c r="G12" s="5">
        <v>5</v>
      </c>
      <c r="H12" s="5">
        <v>74838</v>
      </c>
      <c r="I12" s="4" t="str">
        <v>8 – Eight Partnership- eight partners cumulatively adopting advanced technologies in the poultry sector by the end of 2026 in Kenya.</v>
      </c>
      <c r="J12" s="4">
        <v>6059</v>
      </c>
    </row>
    <row r="13" ht="50" customHeight="1">
      <c r="A13" s="4" t="str">
        <v>AOW04: Achieving Impact by Unlocking Finance and Partnerships</v>
      </c>
      <c r="B13" s="4" t="str">
        <v>ILRI</v>
      </c>
      <c r="C13" s="4" t="str">
        <v>HLO 4.4.2: Partnerships and institutional arrangements for unlocking blended financing</v>
      </c>
      <c r="D13" s="4" t="str">
        <v>A4P11.1: PoD name: Scaling Fund Lead Center: ILRI, PoD KPI: 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 Suggested Disaggregation: 3 projects benefiting women and youth (40%), 1 project targeting marginalized groups (10%), and 4 projects for others (50%). Indicator type: Knowledge Product. Unit: Number of reports.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v>
      </c>
      <c r="E13" s="4" t="str">
        <v>Number of knowledge products</v>
      </c>
      <c r="F13" s="4" t="str">
        <v>Zambia, Kenya</v>
      </c>
      <c r="G13" s="5">
        <v>10</v>
      </c>
      <c r="H13" s="5">
        <v>326083</v>
      </c>
      <c r="I13" s="4" t="str">
        <v>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v>
      </c>
      <c r="J13" s="4">
        <v>6061</v>
      </c>
    </row>
    <row r="14" ht="50" customHeight="1">
      <c r="A14" s="4" t="str">
        <v>AOW04: Achieving Impact by Unlocking Finance and Partnerships</v>
      </c>
      <c r="B14" s="4" t="str">
        <v>ILRI</v>
      </c>
      <c r="C14" s="4" t="str">
        <v>HLO 4.4.3. Scaling frameworks, tools, and processes for responsible scaling</v>
      </c>
      <c r="D14" s="4" t="str">
        <v>A4P3.1: PoD name: Scaling Support Team providing Flagship Technical Assistance for Scaling Tracks. Lead Center: ILRI. PoD KPI: 3 – 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Knowledge Product. Unit: Number of reports.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v>
      </c>
      <c r="E14" s="4" t="str">
        <v>Number of knowledge products</v>
      </c>
      <c r="F14" s="4" t="str">
        <v>Zambia, Côte d'Ivoire, Nigeria, India, Kenya, Ethiopia, Bangladesh</v>
      </c>
      <c r="G14" s="5">
        <v>3</v>
      </c>
      <c r="H14" s="5">
        <v>70652</v>
      </c>
      <c r="I14" s="4" t="str">
        <v>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v>
      </c>
      <c r="J14" s="4">
        <v>6062</v>
      </c>
    </row>
    <row r="15" ht="50" customHeight="1" xml:space="preserve">
      <c r="B15" s="4" t="str">
        <v>ILRI</v>
      </c>
      <c r="D15" s="4" t="str" xml:space="preserve">
        <v xml:space="preserve">A4P3.2: PoD name: Scaling Support Team providing Flagship Technical Assistance for Scaling Tracks Lead Center: ILRI. PoD KPI: Two -2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Innovation Development. Unit: Number of innovations.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
</v>
      </c>
      <c r="E15" s="4" t="str">
        <v>Number of innovations (innovation development)</v>
      </c>
      <c r="F15" s="4" t="str">
        <v>Kenya, Zambia, Nigeria, Ethiopia, Côte d'Ivoire, Bangladesh, India</v>
      </c>
      <c r="G15" s="5">
        <v>2</v>
      </c>
      <c r="H15" s="5">
        <v>70652</v>
      </c>
      <c r="I15" s="4" t="str">
        <v>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v>
      </c>
      <c r="J15" s="4">
        <v>7999</v>
      </c>
    </row>
    <row r="16" ht="25" customHeight="1">
      <c r="C16" s="9" t="str">
        <v>HLO budget subtotal</v>
      </c>
      <c r="H16" s="9">
        <v>542225</v>
      </c>
      <c r="J16" s="9" t="str">
        <v/>
      </c>
    </row>
    <row r="17" ht="50" customHeight="1">
      <c r="A17" s="8" t="str">
        <v>AOW05: Learning for Impact</v>
      </c>
      <c r="B17" s="4" t="str">
        <v>ILRI</v>
      </c>
      <c r="C17" s="4" t="str">
        <v xml:space="preserve">HLO 5.5.1: Scaling science for societal impact </v>
      </c>
      <c r="D17" s="4" t="str">
        <v>A5P1.1: PoD name: South–South University Partnership for Scaling. Lead Center: ILRI. PoD KPI: 6—Six organizations engaged and 20+ scaling champions trained and applying scaling science curricula by end-2026. This includes co-developing scaling science materials and training of 20+ scaling champions. Suggested Disaggregation: 3 African universities (50%), 2 Asian universities (33%), 1 from other Global South regions (17%).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6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 MELIA: Monitoring, evaluation, and learning plans will be developed in early 2026 in cooperation with the S4I PMU and/or AoW‑5, and where needed will include baseline assessments and indicator tracking and reporting in line with Program and CGIAR guidelines.</v>
      </c>
      <c r="E17" s="4" t="str">
        <v>Number of people trained (capacity sharing for development)</v>
      </c>
      <c r="F17" s="4" t="str">
        <v>Kenya, Côte d'Ivoire, Nigeria, Zambia, India, Bangladesh, Ethiopia</v>
      </c>
      <c r="G17" s="5">
        <v>6</v>
      </c>
      <c r="H17" s="5">
        <v>45000</v>
      </c>
      <c r="I17" s="4" t="str">
        <v>20+ scaling champions trained from Six organizations engaged and applying scaling science curricula by end-2026. This includes co-developing scaling science materials and training of 20+ scaling champions.</v>
      </c>
      <c r="J17" s="4">
        <v>6064</v>
      </c>
    </row>
    <row r="18" ht="50" customHeight="1">
      <c r="B18" s="4" t="str">
        <v>ILRI</v>
      </c>
      <c r="D18" s="4" t="str">
        <v>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Disaggregation:not applicable. Indicator type: Capacity Sharing. Unit: Number of trainings..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v>
      </c>
      <c r="E18" s="4" t="str">
        <v>Number of people trained (capacity sharing for development)</v>
      </c>
      <c r="F18" s="4" t="str">
        <v>Côte d'Ivoire, Nigeria, Ethiopia, Kenya, Egypt, Tanzania, United Republic, Malawi, Morocco, The Democratic Republic of the Congo, Zambia</v>
      </c>
      <c r="G18" s="5">
        <v>4</v>
      </c>
      <c r="H18" s="5">
        <v>190000</v>
      </c>
      <c r="I18" s="4" t="str">
        <v>4 – Four regional and cross-Hub learning convenings completed by the end of 2026, strengthening collaboration, responsible scaling practice, and innovation delivery capacities across Kenya, Ethiopia, Zambia, Nigeria, Côte d'Ivoire, Egypt, Malawi, Morocco, DR Congo, and Tanzania</v>
      </c>
      <c r="J18" s="4">
        <v>6075</v>
      </c>
    </row>
    <row r="19" ht="50" customHeight="1">
      <c r="B19" s="4" t="str">
        <v>ILRI</v>
      </c>
      <c r="D19" s="4" t="str">
        <v>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Knowledge Product. Unit: Number of peer reveiwed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v>
      </c>
      <c r="E19" s="4" t="str">
        <v>Number of knowledge products</v>
      </c>
      <c r="F19" s="4" t="str">
        <v>Zambia, Kenya, Nigeria, Colombia, Ethiopia, Guatemala</v>
      </c>
      <c r="G19" s="5">
        <v>4</v>
      </c>
      <c r="H19" s="5">
        <v>95000</v>
      </c>
      <c r="I19" s="4" t="str">
        <v xml:space="preserve">4 – Four co-authored scientific publications, including a special issue on responsible scaling and two conceptual frameworks, published by the end of 2026, consolidating global scaling science evidence. </v>
      </c>
      <c r="J19" s="4">
        <v>6079</v>
      </c>
    </row>
    <row r="20" ht="50" customHeight="1">
      <c r="B20" s="4" t="str">
        <v>ILRI</v>
      </c>
      <c r="D20" s="4" t="str">
        <v>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ILRI.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v>
      </c>
      <c r="E20" s="4" t="str">
        <v>Number of people trained (capacity sharing for development)</v>
      </c>
      <c r="F20" s="4" t="str">
        <v>India, Bangladesh, Kenya, Côte d'Ivoire, Zambia, Ethiopia, Nigeria</v>
      </c>
      <c r="G20" s="5">
        <v>150</v>
      </c>
      <c r="H20" s="5">
        <v>90957</v>
      </c>
      <c r="I20" s="4" t="str">
        <v xml:space="preserve">150 - one hundred and fifty participants engaged across all Scaling Week 2026 activities by the end of 2026, including Deal Rooms, Maker Spaces, and cross-Program learning exchanges, with balanced participation from Kenya, Ethiopia, Bangladesh, India, Zambia, Nigeria, and Côte d'Ivoire. </v>
      </c>
      <c r="J20" s="4">
        <v>6080</v>
      </c>
    </row>
    <row r="21" ht="50" customHeight="1">
      <c r="B21" s="4" t="str">
        <v>ILRI</v>
      </c>
      <c r="D21" s="4" t="str">
        <v>A5P2.2: PoD name: Scaling Bridges: The South–South Learning Networks. Lead Center: ILRI. PoD KPI: 3 – Three Education institutions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institutions will be engaged in co-designing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E21" s="4" t="str">
        <v>custom</v>
      </c>
      <c r="F21" s="4" t="str">
        <v>Kenya</v>
      </c>
      <c r="G21" s="5">
        <v>3</v>
      </c>
      <c r="H21" s="5">
        <v>15000</v>
      </c>
      <c r="I21" s="4" t="str">
        <v xml:space="preserve">3 – Three Education institutions implementing South–South University Network frameworks by end-2026. </v>
      </c>
      <c r="J21" s="4">
        <v>6086</v>
      </c>
    </row>
    <row r="22" ht="50" customHeight="1" xml:space="preserve">
      <c r="B22" s="4" t="str">
        <v>ILRI</v>
      </c>
      <c r="D22" s="4" t="str" xml:space="preserve">
        <v xml:space="preserve">A5P15.1 : 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 The Scaling Community of Practice (SCoP) will leverage its broad global membership network to raise awareness of Scaling Coalition activities and mobilize new organizational members into active Coalition engagement. Leveraging its convening power and analytical capacity, the SCoP will support Scaling Coalition through in-kind technical contributions, co-identify critical bottlenecks to scaling, and support the identification of relevant partners and the formation of new Solution Groups through multi-stakeholder collaboration. Core activities include generating system-level diagnostics on scaling constraints, facilitating Solution Group dialogues, and providing strategic coordination support in reaching new organisation.Operational support activities include the organization and facilitation of at least two webinars on Scaling Coalition priorities and activities open to SCoP members, broadcast email announcements to the SCoP membership base, production and formatting of follow-up reports and policy briefs from Coalition convenings, and dissemination of Coalition activities and learnings through SCoP's quarterly newsletter, website, and social media channels. KPI type: Other output. Unit: Number of organizations. Target: At least 15. Geographic location: Global. Responsible Center: ILRI. KPI Owner: Iddo Dror. Partners: Scaling Community of Practice (SCoP). Partner modality: Direct fund transfer of USD 35,000 to the Scaling Community of Practice (SCoP) for implementation of all activities under this PoD. Budget (USD): 35,000. Partner Budget (USD): 33,250. Total Budget (USD): 35,000. MELIA: Monitoring, evaluation, and learning plans will be developed in early 2026 in cooperation with the S4I PMU and/or AoW-5, and where needed will include baseline assessments and indicator tracking and reporting in line with Program and CGIAR guidelines.
</v>
      </c>
      <c r="E22" s="4" t="str">
        <v>custom</v>
      </c>
      <c r="F22" s="4" t="str">
        <v>Kenya</v>
      </c>
      <c r="G22" s="5">
        <v>15</v>
      </c>
      <c r="H22" s="5">
        <v>34500</v>
      </c>
      <c r="I22" s="4" t="str">
        <v xml:space="preserve">15 — At least fifteen organizations from the SCoP membership base engaged in Scaling Coalition activities by end-2026. </v>
      </c>
      <c r="J22" s="4">
        <v>8126</v>
      </c>
    </row>
    <row r="23" ht="50" customHeight="1" xml:space="preserve">
      <c r="A23" s="4" t="str">
        <v>AOW05: Learning for Impact</v>
      </c>
      <c r="B23" s="4" t="str">
        <v>ILRI</v>
      </c>
      <c r="C23" s="4" t="str">
        <v>HLO 5.5.3: Innovation portfolio analytics and decision support tools</v>
      </c>
      <c r="D23" s="4" t="str" xml:space="preserve">
        <v xml:space="preserve">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v>
      </c>
      <c r="E23" s="4" t="str">
        <v>custom</v>
      </c>
      <c r="F23" s="4" t="str">
        <v>Kenya</v>
      </c>
      <c r="G23" s="5">
        <v>9</v>
      </c>
      <c r="H23" s="5">
        <v>250000</v>
      </c>
      <c r="I23" s="4" t="str">
        <v>9 – Nine CGIAR Programs and Accelerators onboarded and routinely using innovation portfolio management analytics and dashboards for adaptive management and scaling decision-making by the end of 2026.</v>
      </c>
      <c r="J23" s="4">
        <v>6097</v>
      </c>
    </row>
    <row r="24" ht="50" customHeight="1">
      <c r="B24" s="4" t="str">
        <v>ILRI</v>
      </c>
      <c r="D24" s="4" t="str">
        <v>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5.5.2 (Evidence, analytics, and decision support for scaling impact) and HLO 5.5.1 (Institutionalizing learning and adaptation for impact).Accountable Center leading this PoD: ILRI. Anticipated partners: Deutsche Gesellschaft für Internationale Zusammenarbeit (GIZ), The World Bank. MELIA: Monitoring, evaluation, and learning plans will be developed in early 2026 in cooperation with the S4I PMU and/or AoW‑5, and where needed will include baseline assessments and indicator tracking and reporting in line with Program and CGIAR guidelines.</v>
      </c>
      <c r="E24" s="4" t="str">
        <v>Number of people trained (capacity sharing for development)</v>
      </c>
      <c r="F24" s="4" t="str">
        <v>Kenya</v>
      </c>
      <c r="G24" s="5">
        <v>9</v>
      </c>
      <c r="H24" s="5">
        <v>300000</v>
      </c>
      <c r="I24" s="4" t="str">
        <v>9 – Nine CGIAR Programs and Accelerators onboarded and trained to apply IPM analytics in their adaptive management and prioritization cycles by the end of 2026</v>
      </c>
      <c r="J24" s="4">
        <v>6098</v>
      </c>
    </row>
    <row r="25" ht="50" customHeight="1">
      <c r="A25" s="4" t="str">
        <v>AOW05: Learning for Impact</v>
      </c>
      <c r="B25" s="4" t="str">
        <v>ILRI</v>
      </c>
      <c r="C25" s="4" t="str">
        <v>HLO 5.5.2: Evidence-based evaluation and dynamic learning insights</v>
      </c>
      <c r="D25" s="4" t="str">
        <v>A5P12.9 PoD Name: Dynamic Learning and Adaptive Management Strategy—ILRI S4I Scaling Pathway Engagement: KPI Title: Dynamic Learning IPSR Workshop Documentation and MEL Strategy for Forage-Based Livestock Feed Solution Track. PoD KPI: 1 — One completed Innovation Package Scaling Readiness (IPSR) assessment uploaded to PRMS for ILRI’s AoW2 Flagship Solution Track (scaling forage-based livestock feed innovations for resilient rural livelihoods in Ethiopia and Zambia), delivered by the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ILRI’s solution track in AoW2 — specifically scaling forage-based livestock feed innovations for resilient rural livelihoods in Ethiopia and Zambia.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ILRI. PoD Owner: Iddo Dror. KPI Owner: m.gebreyes@cgiar.org. Anticipated partners: Not applicable. Partner modality: Not applicable. Countries of implementation: Ethiopia, Zambia. Location of benefit: Ethiopia, Zambia (East and Southern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v>
      </c>
      <c r="E25" s="4" t="str">
        <v>Number of innovations (innovation development)</v>
      </c>
      <c r="F25" s="4" t="str">
        <v>Ethiopia, Zambia</v>
      </c>
      <c r="G25" s="5">
        <v>1</v>
      </c>
      <c r="H25" s="5">
        <v>10000</v>
      </c>
      <c r="I25" s="4" t="str">
        <v xml:space="preserve">One completed Innovation Package Scaling Readiness (IPSR) assessment uploaded to PRMS for ILRI’s AoW2 Flagship Solution Track (scaling forage-based livestock feed innovations for resilient rural livelihoods in Ethiopia and Zambia), delivered by the end of 2026. </v>
      </c>
      <c r="J25" s="4">
        <v>8110</v>
      </c>
    </row>
    <row r="26" ht="50" customHeight="1">
      <c r="B26" s="4" t="str">
        <v>ILRI</v>
      </c>
      <c r="D26" s="4" t="str">
        <v>A5P13.1: PoD Name: AoW 2 Solution Track Stage-Gate Review: Expert Committee Assessment and Recommendations,  Lead Center: ILRI, HLO: AoW 5.5.2 — Dynamic Learning and Impact Assessment,  KPI Title: Expert Committee Report on AoW 2 Solution Track Continuation and Stage-Gate Recommendations Delivered-PoD KPI: 1 — 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Suggested Disaggregation: Not applicable. Indicator type: Knowledge Product. Unit: Number of knowledge products. Target: 1. PoD Description: This PoD convenes an independent committee of scaling experts through a structured workshop to evaluate AoW 2 solution tracks using completed IPSR assessments and inputs from scaling coaches backstopping those tracks. The committee produces a recommendatory report for S4I Program leadership identifying which solution tracks should continue into 2027 and which should be stage-gated out. The report also captures key learnings and best practices from solution track implementation to inform adaptive management and the 2027 budget cycle. This responds to Risk 4 in the Scaling for Impact Risk Register. Accountable Center leading this PoD: ILRI. KPI Owner: Iddo Dror. Anticipated partners: Not applicable. Partner modality: Not applicable. Countries of implementation: Global. Location of benefit: Global. Budget (USD): 15,000. Partner Budget (USD): 0. MELIA Budget (USD): 0. Total Budget (USD): 15,000. MELIA: Monitoring, evaluation, and learning plans will be developed in early 2026 in cooperation with the S4I PMU and/or AoW 2, and where needed will include baseline assessments and indicator tracking and reporting in line with Program and CGIAR guidelines</v>
      </c>
      <c r="E26" s="4" t="str">
        <v>Number of knowledge products</v>
      </c>
      <c r="F26" s="4" t="str">
        <v>Kenya</v>
      </c>
      <c r="G26" s="5">
        <v>1</v>
      </c>
      <c r="H26" s="5">
        <v>15000</v>
      </c>
      <c r="I26" s="4" t="str">
        <v xml:space="preserve">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v>
      </c>
      <c r="J26" s="4">
        <v>8112</v>
      </c>
    </row>
    <row r="27" ht="50" customHeight="1" xml:space="preserve">
      <c r="B27" s="4" t="str">
        <v>ILRI</v>
      </c>
      <c r="D27" s="4" t="str" xml:space="preserve">
        <v xml:space="preserve">A5P14.1 PoD name: AoW 5 Learning Systems and Impact Engagement: Annual Recommendations Synthesis. KPI Title: Annual recommendations synthesis for improved AoW 5 functioning and 2027 budget design delivered. Lead Center: ILRI. PoD KPI: 1 — One annual recommendations synthesis delivered by end-2026. This PoD enables the AoW 5 lead and Center teams to plan and implement technical workshops and structured engagements with CGIAR Science Programs, Centers, and learning partners on scaling science, monitoring and evaluation, and portfolio management functions across the program. It responds to Risk 5 and Risk 3 in the Scaling for Impact Risk Register — fragmented coordination across CGIAR and capacity gaps in scaling knowledge — by supporting the technical engagement with Science Programs needed to build coherent, evidence-based learning across the program. Learnings from monitoring and evaluation implementation, cross-program knowledge exchange, and scaling science application are consolidated into a set of recommendations for improved design and functioning of AoW 5 to inform the 2027 budget and planning cycle. KPI type: Knowledge product. Unit: Number of knowledge products. Target: 1. Geographic location: Global. Countries of implementation: France. Responsible Center: ILRI. KPI Owner: [AoW 5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
</v>
      </c>
      <c r="E27" s="4" t="str">
        <v>Number of knowledge products</v>
      </c>
      <c r="F27" s="4" t="str">
        <v>France</v>
      </c>
      <c r="G27" s="5">
        <v>1</v>
      </c>
      <c r="H27" s="5">
        <v>58864</v>
      </c>
      <c r="I27" s="4" t="str">
        <v xml:space="preserve">One annual recommendations synthesis delivered by end-2026. </v>
      </c>
      <c r="J27" s="4">
        <v>8125</v>
      </c>
    </row>
    <row r="28" ht="25" customHeight="1">
      <c r="C28" s="9" t="str">
        <v>HLO budget subtotal</v>
      </c>
      <c r="H28" s="9">
        <v>1104321</v>
      </c>
      <c r="J28" s="9" t="str">
        <v/>
      </c>
    </row>
  </sheetData>
  <mergeCells count="21">
    <mergeCell ref="A1:A2"/>
    <mergeCell ref="B1:B2"/>
    <mergeCell ref="C1:C2"/>
    <mergeCell ref="D1:H1"/>
    <mergeCell ref="I1:I2"/>
    <mergeCell ref="J1:J2"/>
    <mergeCell ref="C3:C4"/>
    <mergeCell ref="C5:C7"/>
    <mergeCell ref="C8:G8"/>
    <mergeCell ref="A3:A8"/>
    <mergeCell ref="C9:C10"/>
    <mergeCell ref="C11:G11"/>
    <mergeCell ref="A9:A11"/>
    <mergeCell ref="C14:C15"/>
    <mergeCell ref="C16:G16"/>
    <mergeCell ref="A12:A16"/>
    <mergeCell ref="C17:C22"/>
    <mergeCell ref="C23:C24"/>
    <mergeCell ref="C25:C27"/>
    <mergeCell ref="C28:G28"/>
    <mergeCell ref="A17:A28"/>
  </mergeCells>
  <ignoredErrors>
    <ignoredError numberStoredAsText="1" sqref="A1:J28"/>
  </ignoredErrors>
</worksheet>
</file>

<file path=xl/worksheets/sheet3.xml><?xml version="1.0" encoding="utf-8"?>
<worksheet xmlns="http://schemas.openxmlformats.org/spreadsheetml/2006/main" xmlns:r="http://schemas.openxmlformats.org/officeDocument/2006/relationships">
  <dimension ref="A1:G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Grand Challenges and Scaling Flagships</v>
      </c>
      <c r="B2" s="4" t="str">
        <v xml:space="preserve">  Sidama Agricultural Research Institute</v>
      </c>
      <c r="C2" s="4" t="str">
        <v>ILRI</v>
      </c>
      <c r="D2" s="4" t="str">
        <v>Ethiopia</v>
      </c>
      <c r="E2" s="5">
        <v>20000</v>
      </c>
      <c r="F2" s="4" t="str">
        <v>PoD name: Scaling Forage-Based Livestock Feed Innovations for Resilient Rural Livelihoods in Ethiopia and Zambia. Lead Center: ILRI.</v>
      </c>
      <c r="G2" s="4">
        <v>194</v>
      </c>
    </row>
    <row r="3" ht="50" customHeight="1">
      <c r="A3" s="4" t="str">
        <v>AOW02: Grand Challenges and Scaling Flagships</v>
      </c>
      <c r="B3" s="4" t="str">
        <v>Indo-Zambia Bank Limited</v>
      </c>
      <c r="C3" s="4" t="str">
        <v>ILRI</v>
      </c>
      <c r="D3" s="4" t="str">
        <v>Zambia</v>
      </c>
      <c r="E3" s="5">
        <v>5000</v>
      </c>
      <c r="F3" s="4" t="str">
        <v>PoD name: Scaling Forage-Based Livestock Feed Innovations for Resilient Rural Livelihoods in Ethiopia and Zambia. Lead Center: ILRI.</v>
      </c>
      <c r="G3" s="4">
        <v>195</v>
      </c>
    </row>
    <row r="4" ht="50" customHeight="1">
      <c r="A4" s="4" t="str">
        <v>AOW02: Grand Challenges and Scaling Flagships</v>
      </c>
      <c r="B4" s="4" t="str">
        <v>Community Markets for Conservation</v>
      </c>
      <c r="C4" s="4" t="str">
        <v>ILRI</v>
      </c>
      <c r="D4" s="4" t="str">
        <v>Zambia</v>
      </c>
      <c r="E4" s="5">
        <v>5000</v>
      </c>
      <c r="F4" s="4" t="str">
        <v>PoD name: Scaling Forage-Based Livestock Feed Innovations for Resilient Rural Livelihoods in Ethiopia and Zambia. Lead Center: ILRI.</v>
      </c>
      <c r="G4" s="4">
        <v>196</v>
      </c>
    </row>
    <row r="5" ht="25" customHeight="1">
      <c r="B5" s="9" t="str">
        <v>Contracted partners subtotal</v>
      </c>
      <c r="E5" s="9">
        <v>30000</v>
      </c>
      <c r="F5" s="9" t="str">
        <v/>
      </c>
      <c r="G5" s="9" t="str">
        <v/>
      </c>
    </row>
    <row r="6" ht="50" customHeight="1">
      <c r="A6" s="8" t="str">
        <v>AOW05: Learning for Impact</v>
      </c>
      <c r="B6" s="4" t="str">
        <v>Wageningen University and Research Centre</v>
      </c>
      <c r="C6" s="4" t="str">
        <v>ILRI</v>
      </c>
      <c r="D6" s="4" t="str">
        <v>Netherlands (Kingdom of the)</v>
      </c>
      <c r="E6" s="5">
        <v>95000</v>
      </c>
      <c r="F6" s="4" t="str">
        <v xml:space="preserve"> 4 – Four co-authored scientific publications, including a special issue on responsible scaling and two conceptual frameworks, published by the end of 2026</v>
      </c>
      <c r="G6" s="4">
        <v>104</v>
      </c>
    </row>
    <row r="7" ht="50" customHeight="1">
      <c r="A7" s="4" t="str">
        <v>AOW05: Learning for Impact</v>
      </c>
      <c r="B7" s="4" t="str">
        <v>African Forum for Agricultural Advisory Services</v>
      </c>
      <c r="C7" s="4" t="str">
        <v>ILRI</v>
      </c>
      <c r="D7" s="4" t="str">
        <v>Uganda</v>
      </c>
      <c r="E7" s="5">
        <v>5000</v>
      </c>
      <c r="F7" s="4" t="str">
        <v>20+ scaling champions trained from Six organizations engaged and applying scaling science curricula by end-2026.</v>
      </c>
      <c r="G7" s="4">
        <v>105</v>
      </c>
    </row>
    <row r="8" ht="50" customHeight="1" xml:space="preserve">
      <c r="A8" s="4" t="str">
        <v>AOW05: Learning for Impact</v>
      </c>
      <c r="B8" s="4" t="str">
        <v>Kenya Agricultural and Livestock Research Organization</v>
      </c>
      <c r="C8" s="4" t="str">
        <v>ILRI</v>
      </c>
      <c r="D8" s="4" t="str">
        <v>Kenya</v>
      </c>
      <c r="E8" s="5">
        <v>35000</v>
      </c>
      <c r="F8" s="4" t="str" xml:space="preserve">
        <v xml:space="preserve"> 4 – Four regional and cross-Hub learning convenings completed by the end of 2026
</v>
      </c>
      <c r="G8" s="4">
        <v>121</v>
      </c>
    </row>
    <row r="9" ht="50" customHeight="1">
      <c r="A9" s="4" t="str">
        <v>AOW05: Learning for Impact</v>
      </c>
      <c r="B9" s="4" t="str">
        <v>Scaling Community of Practice (SCoP)</v>
      </c>
      <c r="C9" s="4" t="str">
        <v>ILRI</v>
      </c>
      <c r="D9" s="4" t="str">
        <v>Kenya</v>
      </c>
      <c r="E9" s="5">
        <v>33250</v>
      </c>
      <c r="F9" s="4" t="str">
        <v>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v>
      </c>
      <c r="G9" s="4">
        <v>353</v>
      </c>
    </row>
    <row r="10" ht="25" customHeight="1">
      <c r="B10" s="9" t="str">
        <v>Contracted partners subtotal</v>
      </c>
      <c r="E10" s="9">
        <v>168250</v>
      </c>
      <c r="F10" s="9" t="str">
        <v/>
      </c>
      <c r="G10" s="9" t="str">
        <v/>
      </c>
    </row>
  </sheetData>
  <mergeCells count="4">
    <mergeCell ref="B5:D5"/>
    <mergeCell ref="A2:A5"/>
    <mergeCell ref="B10:D10"/>
    <mergeCell ref="A6:A10"/>
  </mergeCells>
  <ignoredErrors>
    <ignoredError numberStoredAsText="1" sqref="A1:G10"/>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ILRI</v>
      </c>
      <c r="B2" s="4" t="str">
        <v>L-USA093-Mali Project</v>
      </c>
      <c r="C2" s="4" t="str">
        <v>I-OC 3.2: Improved capacity for policy, market and coordination mechanisms for inclusive scaling</v>
      </c>
      <c r="D2" s="5">
        <v>1341430</v>
      </c>
      <c r="E2" s="4" t="str">
        <v>As per W3 and Bilateral mapping dashboard</v>
      </c>
      <c r="F2" s="4">
        <v>1132</v>
      </c>
    </row>
    <row r="3" ht="25" customHeight="1">
      <c r="B3" s="9" t="str">
        <v>W3/Bilateral budget subtotal</v>
      </c>
      <c r="D3" s="9">
        <v>1341430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ILRI</v>
      </c>
      <c r="C2" s="4" t="str">
        <v>A5P12.1 PoD Name: AoW 2 Solution Track Stage-Gate Review: Expert Committee Assessment and Recommendations</v>
      </c>
      <c r="D2" s="4" t="str">
        <v>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v>
      </c>
      <c r="E2" s="4" t="str">
        <v>N/A</v>
      </c>
      <c r="F2" s="5">
        <v>0</v>
      </c>
      <c r="G2" s="4" t="str">
        <v/>
      </c>
      <c r="H2" s="4">
        <v>487</v>
      </c>
    </row>
    <row r="3" ht="60" customHeight="1">
      <c r="A3" s="4" t="str">
        <v>AOW00: Cross Cutting</v>
      </c>
      <c r="B3" s="4" t="str">
        <v>ILRI</v>
      </c>
      <c r="C3" s="4" t="str">
        <v>A5P12.9 PoD Name: Dynamic Learning and Adaptive Management Strategy — ILRI S4I Scaling Pathway Engagement</v>
      </c>
      <c r="D3" s="4" t="str">
        <v>1. Farmers adapt and adopt sustainable practices Climate Adaptation and Mitigation Nutrition, Health and Food Security 5. Partners use science for scaling 2. Scaling partners enable access to agrifood solutions Poverty Reduction, Livelihoods and Jobs</v>
      </c>
      <c r="E3" s="4" t="str">
        <v>N/A</v>
      </c>
      <c r="F3" s="5">
        <v>0</v>
      </c>
      <c r="G3" s="4" t="str">
        <v/>
      </c>
      <c r="H3" s="4">
        <v>498</v>
      </c>
    </row>
    <row r="4" ht="25" customHeight="1">
      <c r="C4" s="9" t="str">
        <v>MELIA budget subtotal</v>
      </c>
      <c r="F4" s="9">
        <v>0</v>
      </c>
      <c r="G4" s="9" t="str">
        <v/>
      </c>
      <c r="H4" s="9" t="str">
        <v/>
      </c>
    </row>
    <row r="5" ht="60" customHeight="1">
      <c r="A5" s="8" t="str">
        <v>AOW02: Grand Challenges and Scaling Flagships</v>
      </c>
      <c r="B5" s="4" t="str">
        <v>ILRI</v>
      </c>
      <c r="C5" s="4" t="str">
        <v>A5P12.9 PoD Name: Dynamic Learning and Adaptive Management Strategy — ILRI S4I Scaling Pathway Engagement</v>
      </c>
      <c r="D5" s="4" t="str">
        <v>1. Farmers adapt and adopt sustainable practices Climate Adaptation and Mitigation Nutrition, Health and Food Security 5. Partners use science for scaling 2. Scaling partners enable access to agrifood solutions Poverty Reduction, Livelihoods and Jobs</v>
      </c>
      <c r="E5" s="4" t="str">
        <v>N/A</v>
      </c>
      <c r="F5" s="5">
        <v>0</v>
      </c>
      <c r="G5" s="4" t="str">
        <v/>
      </c>
      <c r="H5" s="4">
        <v>497</v>
      </c>
    </row>
    <row r="6" ht="25" customHeight="1">
      <c r="C6" s="9" t="str">
        <v>MELIA budget subtotal</v>
      </c>
      <c r="F6" s="9">
        <v>0</v>
      </c>
      <c r="G6" s="9" t="str">
        <v/>
      </c>
      <c r="H6" s="9" t="str">
        <v/>
      </c>
    </row>
    <row r="7" ht="60" customHeight="1">
      <c r="A7" s="8" t="str">
        <v>AOW05: Learning for Impact</v>
      </c>
      <c r="B7" s="4" t="str">
        <v>ILRI</v>
      </c>
      <c r="C7" s="4" t="str">
        <v>A5P12.1 PoD Name: AoW 2 Solution Track Stage-Gate Review: Expert Committee Assessment and Recommendations</v>
      </c>
      <c r="D7" s="4" t="str">
        <v>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v>
      </c>
      <c r="E7" s="4" t="str">
        <v>N/A</v>
      </c>
      <c r="F7" s="5">
        <v>15000</v>
      </c>
      <c r="G7" s="4" t="str">
        <v xml:space="preserve">will be added </v>
      </c>
      <c r="H7" s="4">
        <v>477</v>
      </c>
    </row>
    <row r="8" ht="60" customHeight="1">
      <c r="A8" s="4" t="str">
        <v>AOW05: Learning for Impact</v>
      </c>
      <c r="B8" s="4" t="str">
        <v>ILRI</v>
      </c>
      <c r="C8" s="4" t="str">
        <v>A5P12.9 PoD Name: Dynamic Learning and Adaptive Management Strategy — ILRI S4I Scaling Pathway Engagement</v>
      </c>
      <c r="D8" s="4" t="str">
        <v>1. Farmers adapt and adopt sustainable practices Climate Adaptation and Mitigation Nutrition, Health and Food Security 5. Partners use science for scaling 2. Scaling partners enable access to agrifood solutions Poverty Reduction, Livelihoods and Jobs</v>
      </c>
      <c r="E8" s="4" t="str">
        <v>N/A</v>
      </c>
      <c r="F8" s="5">
        <v>10000</v>
      </c>
      <c r="G8" s="4" t="str">
        <v>A5P12.9 PoD Name: Dynamic Learning and Adaptive Management Strategy — ILRI S4I Scaling Pathway Engagement</v>
      </c>
      <c r="H8" s="4">
        <v>496</v>
      </c>
    </row>
    <row r="9" ht="25" customHeight="1">
      <c r="C9" s="9" t="str">
        <v>MELIA budget subtotal</v>
      </c>
      <c r="F9" s="9">
        <v>25000</v>
      </c>
      <c r="G9" s="9" t="str">
        <v/>
      </c>
      <c r="H9" s="9" t="str">
        <v/>
      </c>
    </row>
  </sheetData>
  <mergeCells count="6">
    <mergeCell ref="C4:E4"/>
    <mergeCell ref="A2:A4"/>
    <mergeCell ref="C6:E6"/>
    <mergeCell ref="A5:A6"/>
    <mergeCell ref="C9:E9"/>
    <mergeCell ref="A7:A9"/>
  </mergeCells>
  <ignoredErrors>
    <ignoredError numberStoredAsText="1" sqref="A1:H9"/>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Area of Work Leads</v>
      </c>
      <c r="D2" s="5">
        <v>105310</v>
      </c>
      <c r="E2" s="4" t="str">
        <v xml:space="preserve">Q1 2026 FTE costs for Transitional Area of Work (AoW) Leaders at $6000 per leader- AoW5 lead </v>
      </c>
      <c r="F2" s="4">
        <v>177</v>
      </c>
      <c r="G2" s="4">
        <v>3</v>
      </c>
    </row>
    <row r="3" ht="45" customHeight="1">
      <c r="A3" s="4" t="str">
        <v>AOW00: Cross Cutting</v>
      </c>
      <c r="B3" s="4" t="str">
        <v>ILRI</v>
      </c>
      <c r="C3" s="4" t="str">
        <v>Operations</v>
      </c>
      <c r="D3" s="5">
        <v>23262</v>
      </c>
      <c r="E3" s="4" t="str">
        <v>Cost for P&amp;R workshop</v>
      </c>
      <c r="F3" s="4">
        <v>178</v>
      </c>
      <c r="G3" s="4">
        <v>4</v>
      </c>
    </row>
    <row r="4" ht="25" customHeight="1">
      <c r="C4" s="9" t="str">
        <v>Cross-cutting budget subtotal</v>
      </c>
      <c r="D4" s="9">
        <v>128572</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105310</v>
      </c>
      <c r="C2" s="5">
        <v>0</v>
      </c>
      <c r="D2" s="5">
        <v>207184</v>
      </c>
      <c r="E2" s="5">
        <v>122000</v>
      </c>
      <c r="F2" s="5">
        <v>276520</v>
      </c>
      <c r="G2" s="5">
        <v>513823</v>
      </c>
      <c r="H2" s="5">
        <f>=SUM(B2:G2)</f>
        <v>0</v>
      </c>
    </row>
    <row r="3" ht="20" customHeight="1">
      <c r="A3" s="4" t="str">
        <v>Operations (supplies, consultants, travels, workshops, other)</v>
      </c>
      <c r="B3" s="5">
        <v>23262</v>
      </c>
      <c r="C3" s="5">
        <v>0</v>
      </c>
      <c r="D3" s="5">
        <v>79684</v>
      </c>
      <c r="E3" s="5">
        <v>100181</v>
      </c>
      <c r="F3" s="5">
        <v>265705</v>
      </c>
      <c r="G3" s="5">
        <v>422248</v>
      </c>
      <c r="H3" s="5">
        <f>=SUM(B3:G3)</f>
        <v>0</v>
      </c>
    </row>
    <row r="4" ht="20" customHeight="1">
      <c r="A4" s="4" t="str">
        <v>Collaborators non-CGIAR centers</v>
      </c>
      <c r="B4" s="5">
        <v>0</v>
      </c>
      <c r="C4" s="5">
        <v>0</v>
      </c>
      <c r="D4" s="5">
        <v>30000</v>
      </c>
      <c r="E4" s="5">
        <v>0</v>
      </c>
      <c r="F4" s="5">
        <v>0</v>
      </c>
      <c r="G4" s="5">
        <v>168250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France</v>
      </c>
      <c r="D2" s="5">
        <v>60</v>
      </c>
      <c r="E2" s="4">
        <v>3073</v>
      </c>
    </row>
    <row r="3" ht="45" customHeight="1">
      <c r="A3" s="4" t="str">
        <v>AOW00: Cross Cutting</v>
      </c>
      <c r="B3" s="4" t="str">
        <v>ILRI</v>
      </c>
      <c r="C3" s="4" t="str">
        <v>Kenya</v>
      </c>
      <c r="D3" s="5">
        <v>40</v>
      </c>
      <c r="E3" s="4">
        <v>3074</v>
      </c>
    </row>
    <row r="4" ht="45" customHeight="1">
      <c r="A4" s="8" t="str">
        <v>AOW02: Grand Challenges and Scaling Flagships</v>
      </c>
      <c r="B4" s="4" t="str">
        <v>ILRI</v>
      </c>
      <c r="C4" s="4" t="str">
        <v>Ethiopia</v>
      </c>
      <c r="D4" s="5">
        <v>41.18</v>
      </c>
      <c r="E4" s="4">
        <v>3077</v>
      </c>
    </row>
    <row r="5" ht="45" customHeight="1">
      <c r="A5" s="4" t="str">
        <v>AOW02: Grand Challenges and Scaling Flagships</v>
      </c>
      <c r="B5" s="4" t="str">
        <v>ILRI</v>
      </c>
      <c r="C5" s="4" t="str">
        <v>Kenya</v>
      </c>
      <c r="D5" s="5">
        <v>17.64</v>
      </c>
      <c r="E5" s="4">
        <v>3076</v>
      </c>
    </row>
    <row r="6" ht="45" customHeight="1">
      <c r="A6" s="4" t="str">
        <v>AOW02: Grand Challenges and Scaling Flagships</v>
      </c>
      <c r="B6" s="4" t="str">
        <v>ILRI</v>
      </c>
      <c r="C6" s="4" t="str">
        <v>Zambia</v>
      </c>
      <c r="D6" s="5">
        <v>41.18</v>
      </c>
      <c r="E6" s="4">
        <v>3075</v>
      </c>
    </row>
    <row r="7" ht="45" customHeight="1">
      <c r="A7" s="8" t="str">
        <v>AOW03: Enabling Environment Lab</v>
      </c>
      <c r="B7" s="4" t="str">
        <v>ILRI</v>
      </c>
      <c r="C7" s="4" t="str">
        <v>Ethiopia</v>
      </c>
      <c r="D7" s="5">
        <v>50</v>
      </c>
      <c r="E7" s="4">
        <v>3071</v>
      </c>
    </row>
    <row r="8" ht="45" customHeight="1">
      <c r="A8" s="4" t="str">
        <v>AOW03: Enabling Environment Lab</v>
      </c>
      <c r="B8" s="4" t="str">
        <v>ILRI</v>
      </c>
      <c r="C8" s="4" t="str">
        <v>Nigeria</v>
      </c>
      <c r="D8" s="5">
        <v>50</v>
      </c>
      <c r="E8" s="4">
        <v>3072</v>
      </c>
    </row>
    <row r="9" ht="45" customHeight="1">
      <c r="A9" s="8" t="str">
        <v>AOW04: Achieving Impact by Unlocking Finance and Partnerships</v>
      </c>
      <c r="B9" s="4" t="str">
        <v>ILRI</v>
      </c>
      <c r="C9" s="4" t="str">
        <v>Bangladesh</v>
      </c>
      <c r="D9" s="5">
        <v>14</v>
      </c>
      <c r="E9" s="4">
        <v>1775</v>
      </c>
    </row>
    <row r="10" ht="45" customHeight="1">
      <c r="A10" s="4" t="str">
        <v>AOW04: Achieving Impact by Unlocking Finance and Partnerships</v>
      </c>
      <c r="B10" s="4" t="str">
        <v>ILRI</v>
      </c>
      <c r="C10" s="4" t="str">
        <v>Côte d'Ivoire</v>
      </c>
      <c r="D10" s="5">
        <v>14</v>
      </c>
      <c r="E10" s="4">
        <v>1776</v>
      </c>
    </row>
    <row r="11" ht="45" customHeight="1">
      <c r="A11" s="4" t="str">
        <v>AOW04: Achieving Impact by Unlocking Finance and Partnerships</v>
      </c>
      <c r="B11" s="4" t="str">
        <v>ILRI</v>
      </c>
      <c r="C11" s="4" t="str">
        <v>Ethiopia</v>
      </c>
      <c r="D11" s="5">
        <v>14</v>
      </c>
      <c r="E11" s="4">
        <v>1777</v>
      </c>
    </row>
    <row r="12" ht="45" customHeight="1">
      <c r="A12" s="4" t="str">
        <v>AOW04: Achieving Impact by Unlocking Finance and Partnerships</v>
      </c>
      <c r="B12" s="4" t="str">
        <v>ILRI</v>
      </c>
      <c r="C12" s="4" t="str">
        <v>India</v>
      </c>
      <c r="D12" s="5">
        <v>14</v>
      </c>
      <c r="E12" s="4">
        <v>1778</v>
      </c>
    </row>
    <row r="13" ht="45" customHeight="1">
      <c r="A13" s="4" t="str">
        <v>AOW04: Achieving Impact by Unlocking Finance and Partnerships</v>
      </c>
      <c r="B13" s="4" t="str">
        <v>ILRI</v>
      </c>
      <c r="C13" s="4" t="str">
        <v>Kenya</v>
      </c>
      <c r="D13" s="5">
        <v>14</v>
      </c>
      <c r="E13" s="4">
        <v>1779</v>
      </c>
    </row>
    <row r="14" ht="45" customHeight="1">
      <c r="A14" s="4" t="str">
        <v>AOW04: Achieving Impact by Unlocking Finance and Partnerships</v>
      </c>
      <c r="B14" s="4" t="str">
        <v>ILRI</v>
      </c>
      <c r="C14" s="4" t="str">
        <v>Nigeria</v>
      </c>
      <c r="D14" s="5">
        <v>14</v>
      </c>
      <c r="E14" s="4">
        <v>1780</v>
      </c>
    </row>
    <row r="15" ht="45" customHeight="1">
      <c r="A15" s="4" t="str">
        <v>AOW04: Achieving Impact by Unlocking Finance and Partnerships</v>
      </c>
      <c r="B15" s="4" t="str">
        <v>ILRI</v>
      </c>
      <c r="C15" s="4" t="str">
        <v>Zambia</v>
      </c>
      <c r="D15" s="5">
        <v>16</v>
      </c>
      <c r="E15" s="4">
        <v>1781</v>
      </c>
    </row>
    <row r="16" ht="45" customHeight="1">
      <c r="A16" s="8" t="str">
        <v>AOW05: Learning for Impact</v>
      </c>
      <c r="B16" s="4" t="str">
        <v>ILRI</v>
      </c>
      <c r="C16" s="4" t="str">
        <v>Bangladesh</v>
      </c>
      <c r="D16" s="5">
        <v>2.65</v>
      </c>
      <c r="E16" s="4">
        <v>1602</v>
      </c>
    </row>
    <row r="17" ht="45" customHeight="1">
      <c r="A17" s="4" t="str">
        <v>AOW05: Learning for Impact</v>
      </c>
      <c r="B17" s="4" t="str">
        <v>ILRI</v>
      </c>
      <c r="C17" s="4" t="str">
        <v>Colombia</v>
      </c>
      <c r="D17" s="5">
        <v>2.36</v>
      </c>
      <c r="E17" s="4">
        <v>1603</v>
      </c>
    </row>
    <row r="18" ht="45" customHeight="1">
      <c r="A18" s="4" t="str">
        <v>AOW05: Learning for Impact</v>
      </c>
      <c r="B18" s="4" t="str">
        <v>ILRI</v>
      </c>
      <c r="C18" s="4" t="str">
        <v>Côte d'Ivoire</v>
      </c>
      <c r="D18" s="5">
        <v>5.49</v>
      </c>
      <c r="E18" s="4">
        <v>1594</v>
      </c>
    </row>
    <row r="19" ht="45" customHeight="1">
      <c r="A19" s="4" t="str">
        <v>AOW05: Learning for Impact</v>
      </c>
      <c r="B19" s="4" t="str">
        <v>ILRI</v>
      </c>
      <c r="C19" s="4" t="str">
        <v>Egypt</v>
      </c>
      <c r="D19" s="5">
        <v>2.83</v>
      </c>
      <c r="E19" s="4">
        <v>1595</v>
      </c>
    </row>
    <row r="20" ht="45" customHeight="1">
      <c r="A20" s="4" t="str">
        <v>AOW05: Learning for Impact</v>
      </c>
      <c r="B20" s="4" t="str">
        <v>ILRI</v>
      </c>
      <c r="C20" s="4" t="str">
        <v>Ethiopia</v>
      </c>
      <c r="D20" s="5">
        <v>7.85</v>
      </c>
      <c r="E20" s="4">
        <v>1593</v>
      </c>
    </row>
    <row r="21" ht="45" customHeight="1">
      <c r="A21" s="4" t="str">
        <v>AOW05: Learning for Impact</v>
      </c>
      <c r="B21" s="4" t="str">
        <v>ILRI</v>
      </c>
      <c r="C21" s="4" t="str">
        <v>Guatemala</v>
      </c>
      <c r="D21" s="5">
        <v>2.36</v>
      </c>
      <c r="E21" s="4">
        <v>1604</v>
      </c>
    </row>
    <row r="22" ht="45" customHeight="1">
      <c r="A22" s="4" t="str">
        <v>AOW05: Learning for Impact</v>
      </c>
      <c r="B22" s="4" t="str">
        <v>ILRI</v>
      </c>
      <c r="C22" s="4" t="str">
        <v>India</v>
      </c>
      <c r="D22" s="5">
        <v>2.65</v>
      </c>
      <c r="E22" s="4">
        <v>1601</v>
      </c>
    </row>
    <row r="23" ht="45" customHeight="1">
      <c r="A23" s="4" t="str">
        <v>AOW05: Learning for Impact</v>
      </c>
      <c r="B23" s="4" t="str">
        <v>ILRI</v>
      </c>
      <c r="C23" s="4" t="str">
        <v>Kenya</v>
      </c>
      <c r="D23" s="5">
        <v>45.11</v>
      </c>
      <c r="E23" s="4">
        <v>1590</v>
      </c>
    </row>
    <row r="24" ht="45" customHeight="1">
      <c r="A24" s="4" t="str">
        <v>AOW05: Learning for Impact</v>
      </c>
      <c r="B24" s="4" t="str">
        <v>ILRI</v>
      </c>
      <c r="C24" s="4" t="str">
        <v>Malawi</v>
      </c>
      <c r="D24" s="5">
        <v>2.83</v>
      </c>
      <c r="E24" s="4">
        <v>1597</v>
      </c>
    </row>
    <row r="25" ht="45" customHeight="1">
      <c r="A25" s="4" t="str">
        <v>AOW05: Learning for Impact</v>
      </c>
      <c r="B25" s="4" t="str">
        <v>ILRI</v>
      </c>
      <c r="C25" s="4" t="str">
        <v>Morocco</v>
      </c>
      <c r="D25" s="5">
        <v>2.83</v>
      </c>
      <c r="E25" s="4">
        <v>1598</v>
      </c>
    </row>
    <row r="26" ht="45" customHeight="1">
      <c r="A26" s="4" t="str">
        <v>AOW05: Learning for Impact</v>
      </c>
      <c r="B26" s="4" t="str">
        <v>ILRI</v>
      </c>
      <c r="C26" s="4" t="str">
        <v>Nigeria</v>
      </c>
      <c r="D26" s="5">
        <v>7.85</v>
      </c>
      <c r="E26" s="4">
        <v>1591</v>
      </c>
    </row>
    <row r="27" ht="45" customHeight="1">
      <c r="A27" s="4" t="str">
        <v>AOW05: Learning for Impact</v>
      </c>
      <c r="B27" s="4" t="str">
        <v>ILRI</v>
      </c>
      <c r="C27" s="4" t="str">
        <v>Tanzania</v>
      </c>
      <c r="D27" s="5">
        <v>2.83</v>
      </c>
      <c r="E27" s="4">
        <v>1596</v>
      </c>
    </row>
    <row r="28" ht="45" customHeight="1">
      <c r="A28" s="4" t="str">
        <v>AOW05: Learning for Impact</v>
      </c>
      <c r="B28" s="4" t="str">
        <v>ILRI</v>
      </c>
      <c r="C28" s="4" t="str">
        <v>The Democratic Republic of the Congo</v>
      </c>
      <c r="D28" s="5">
        <v>2.83</v>
      </c>
      <c r="E28" s="4">
        <v>1600</v>
      </c>
    </row>
    <row r="29" ht="45" customHeight="1">
      <c r="A29" s="4" t="str">
        <v>AOW05: Learning for Impact</v>
      </c>
      <c r="B29" s="4" t="str">
        <v>ILRI</v>
      </c>
      <c r="C29" s="4" t="str">
        <v>United Republic</v>
      </c>
      <c r="D29" s="5">
        <v>1.68</v>
      </c>
      <c r="E29" s="4">
        <v>1599</v>
      </c>
    </row>
    <row r="30" ht="45" customHeight="1">
      <c r="A30" s="4" t="str">
        <v>AOW05: Learning for Impact</v>
      </c>
      <c r="B30" s="4" t="str">
        <v>ILRI</v>
      </c>
      <c r="C30" s="4" t="str">
        <v>Zambia</v>
      </c>
      <c r="D30" s="5">
        <v>7.85</v>
      </c>
      <c r="E30" s="4">
        <v>1592</v>
      </c>
    </row>
  </sheetData>
  <mergeCells count="5">
    <mergeCell ref="A2:A3"/>
    <mergeCell ref="A4:A6"/>
    <mergeCell ref="A7:A8"/>
    <mergeCell ref="A9:A15"/>
    <mergeCell ref="A16:A30"/>
  </mergeCells>
  <ignoredErrors>
    <ignoredError numberStoredAsText="1" sqref="A1:E30"/>
  </ignoredErrors>
</worksheet>
</file>

<file path=xl/worksheets/sheet9.xml><?xml version="1.0" encoding="utf-8"?>
<worksheet xmlns="http://schemas.openxmlformats.org/spreadsheetml/2006/main" xmlns:r="http://schemas.openxmlformats.org/officeDocument/2006/relationships">
  <dimension ref="A1:F1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1215</v>
      </c>
    </row>
    <row r="3" ht="45" customHeight="1">
      <c r="A3" s="8" t="str">
        <v>AOW02: Grand Challenges and Scaling Flagships</v>
      </c>
      <c r="B3" s="4" t="str">
        <v>ILRI</v>
      </c>
      <c r="C3" s="4" t="str">
        <v>Ethiopia</v>
      </c>
      <c r="D3" s="4" t="str">
        <v>country</v>
      </c>
      <c r="E3" s="5">
        <v>17.64</v>
      </c>
      <c r="F3" s="4">
        <v>1216</v>
      </c>
    </row>
    <row r="4" ht="45" customHeight="1">
      <c r="A4" s="4" t="str">
        <v>AOW02: Grand Challenges and Scaling Flagships</v>
      </c>
      <c r="B4" s="4" t="str">
        <v>ILRI</v>
      </c>
      <c r="C4" s="4" t="str">
        <v>Kenya</v>
      </c>
      <c r="D4" s="4" t="str">
        <v>country</v>
      </c>
      <c r="E4" s="5">
        <v>41.18</v>
      </c>
      <c r="F4" s="4">
        <v>1218</v>
      </c>
    </row>
    <row r="5" ht="45" customHeight="1">
      <c r="A5" s="4" t="str">
        <v>AOW02: Grand Challenges and Scaling Flagships</v>
      </c>
      <c r="B5" s="4" t="str">
        <v>ILRI</v>
      </c>
      <c r="C5" s="4" t="str">
        <v>Zambia</v>
      </c>
      <c r="D5" s="4" t="str">
        <v>country</v>
      </c>
      <c r="E5" s="5">
        <v>41.18</v>
      </c>
      <c r="F5" s="4">
        <v>1217</v>
      </c>
    </row>
    <row r="6" ht="45" customHeight="1">
      <c r="A6" s="8" t="str">
        <v>AOW03: Enabling Environment Lab</v>
      </c>
      <c r="B6" s="4" t="str">
        <v>ILRI</v>
      </c>
      <c r="C6" s="4" t="str">
        <v>Ethiopia</v>
      </c>
      <c r="D6" s="4" t="str">
        <v>country</v>
      </c>
      <c r="E6" s="5">
        <v>50</v>
      </c>
      <c r="F6" s="4">
        <v>1213</v>
      </c>
    </row>
    <row r="7" ht="45" customHeight="1">
      <c r="A7" s="4" t="str">
        <v>AOW03: Enabling Environment Lab</v>
      </c>
      <c r="B7" s="4" t="str">
        <v>ILRI</v>
      </c>
      <c r="C7" s="4" t="str">
        <v>Nigeria</v>
      </c>
      <c r="D7" s="4" t="str">
        <v>country</v>
      </c>
      <c r="E7" s="5">
        <v>50</v>
      </c>
      <c r="F7" s="4">
        <v>1214</v>
      </c>
    </row>
    <row r="8" ht="45" customHeight="1">
      <c r="A8" s="8" t="str">
        <v>AOW04: Achieving Impact by Unlocking Finance and Partnerships</v>
      </c>
      <c r="B8" s="4" t="str">
        <v>ILRI</v>
      </c>
      <c r="C8" s="4" t="str">
        <v>Kenya</v>
      </c>
      <c r="D8" s="4" t="str">
        <v>country</v>
      </c>
      <c r="E8" s="5">
        <v>50</v>
      </c>
      <c r="F8" s="4">
        <v>635</v>
      </c>
    </row>
    <row r="9" ht="45" customHeight="1">
      <c r="A9" s="4" t="str">
        <v>AOW04: Achieving Impact by Unlocking Finance and Partnerships</v>
      </c>
      <c r="B9" s="4" t="str">
        <v>ILRI</v>
      </c>
      <c r="C9" s="4" t="str">
        <v>Zambia</v>
      </c>
      <c r="D9" s="4" t="str">
        <v>country</v>
      </c>
      <c r="E9" s="5">
        <v>50</v>
      </c>
      <c r="F9" s="4">
        <v>636</v>
      </c>
    </row>
    <row r="10" ht="45" customHeight="1">
      <c r="A10" s="8" t="str">
        <v>AOW05: Learning for Impact</v>
      </c>
      <c r="B10" s="4" t="str">
        <v>ILRI</v>
      </c>
      <c r="C10" s="4" t="str">
        <v>Global</v>
      </c>
      <c r="D10" s="4" t="str">
        <v>global</v>
      </c>
      <c r="E10" s="5">
        <v>100</v>
      </c>
      <c r="F10" s="4">
        <v>564</v>
      </c>
    </row>
  </sheetData>
  <mergeCells count="5">
    <mergeCell ref="A2"/>
    <mergeCell ref="A3:A5"/>
    <mergeCell ref="A6:A7"/>
    <mergeCell ref="A8:A9"/>
    <mergeCell ref="A10"/>
  </mergeCells>
  <ignoredErrors>
    <ignoredError numberStoredAsText="1" sqref="A1:F10"/>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