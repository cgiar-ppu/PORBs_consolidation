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6000</v>
      </c>
      <c r="K4" s="5">
        <v>6000</v>
      </c>
      <c r="L4" s="5">
        <v>0</v>
      </c>
      <c r="M4" s="5">
        <v>0</v>
      </c>
      <c r="N4" s="4">
        <v>206</v>
      </c>
    </row>
    <row r="5" ht="20" customHeight="1">
      <c r="A5" s="4" t="str">
        <v>AOW01: Engage and Empower</v>
      </c>
      <c r="B5" s="5">
        <v>0</v>
      </c>
      <c r="C5" s="5">
        <v>0</v>
      </c>
      <c r="D5" s="5">
        <v>0</v>
      </c>
      <c r="E5" s="5">
        <v>0</v>
      </c>
      <c r="F5" s="5">
        <v>0</v>
      </c>
      <c r="G5" s="5">
        <v>0</v>
      </c>
      <c r="H5" s="5">
        <v>0</v>
      </c>
      <c r="I5" s="5">
        <v>0</v>
      </c>
      <c r="J5" s="5">
        <v>0</v>
      </c>
      <c r="K5" s="5">
        <v>0</v>
      </c>
      <c r="L5" s="5">
        <v>0</v>
      </c>
      <c r="M5" s="5">
        <v>0</v>
      </c>
      <c r="N5" s="4">
        <v>205</v>
      </c>
    </row>
    <row r="6" ht="20" customHeight="1">
      <c r="A6" s="4" t="str">
        <v>AOW02: Grand Challenges and Scaling Flagships</v>
      </c>
      <c r="B6" s="5">
        <v>3</v>
      </c>
      <c r="C6" s="5">
        <v>162659</v>
      </c>
      <c r="D6" s="5">
        <v>5</v>
      </c>
      <c r="E6" s="5">
        <v>177869</v>
      </c>
      <c r="F6" s="5">
        <v>50</v>
      </c>
      <c r="G6" s="5">
        <v>118297</v>
      </c>
      <c r="H6" s="5">
        <v>0</v>
      </c>
      <c r="I6" s="5">
        <v>0</v>
      </c>
      <c r="J6" s="5">
        <v>458825</v>
      </c>
      <c r="K6" s="5">
        <v>458825</v>
      </c>
      <c r="L6" s="5">
        <v>100000</v>
      </c>
      <c r="M6" s="5">
        <v>0</v>
      </c>
      <c r="N6" s="4">
        <v>201</v>
      </c>
    </row>
    <row r="7" ht="20" customHeight="1">
      <c r="A7" s="4" t="str">
        <v>AOW03: Enabling Environment Lab</v>
      </c>
      <c r="B7" s="5">
        <v>0</v>
      </c>
      <c r="C7" s="5">
        <v>0</v>
      </c>
      <c r="D7" s="5">
        <v>0</v>
      </c>
      <c r="E7" s="5">
        <v>0</v>
      </c>
      <c r="F7" s="5">
        <v>3</v>
      </c>
      <c r="G7" s="5">
        <v>50000</v>
      </c>
      <c r="H7" s="5">
        <v>0</v>
      </c>
      <c r="I7" s="5">
        <v>0</v>
      </c>
      <c r="J7" s="5">
        <v>50000</v>
      </c>
      <c r="K7" s="5">
        <v>50000</v>
      </c>
      <c r="L7" s="5">
        <v>10000</v>
      </c>
      <c r="M7" s="5">
        <v>0</v>
      </c>
      <c r="N7" s="4">
        <v>203</v>
      </c>
    </row>
    <row r="8" ht="20" customHeight="1">
      <c r="A8" s="4" t="str">
        <v>AOW04: Achieving Impact by Unlocking Finance and Partnerships</v>
      </c>
      <c r="B8" s="5">
        <v>5</v>
      </c>
      <c r="C8" s="5">
        <v>50000</v>
      </c>
      <c r="D8" s="5">
        <v>0</v>
      </c>
      <c r="E8" s="5">
        <v>0</v>
      </c>
      <c r="F8" s="5">
        <v>0</v>
      </c>
      <c r="G8" s="5">
        <v>0</v>
      </c>
      <c r="H8" s="5">
        <v>0</v>
      </c>
      <c r="I8" s="5">
        <v>0</v>
      </c>
      <c r="J8" s="5">
        <v>50000</v>
      </c>
      <c r="K8" s="5">
        <v>50000</v>
      </c>
      <c r="L8" s="5">
        <v>0</v>
      </c>
      <c r="M8" s="5">
        <v>0</v>
      </c>
      <c r="N8" s="4">
        <v>202</v>
      </c>
    </row>
    <row r="9" ht="20" customHeight="1">
      <c r="A9" s="4" t="str">
        <v>AOW05: Learning for Impact</v>
      </c>
      <c r="B9" s="5">
        <v>11</v>
      </c>
      <c r="C9" s="5">
        <v>105000</v>
      </c>
      <c r="D9" s="5">
        <v>20</v>
      </c>
      <c r="E9" s="5">
        <v>125000</v>
      </c>
      <c r="F9" s="5">
        <v>16</v>
      </c>
      <c r="G9" s="5">
        <v>154462</v>
      </c>
      <c r="H9" s="5">
        <v>0</v>
      </c>
      <c r="I9" s="5">
        <v>0</v>
      </c>
      <c r="J9" s="5">
        <v>384462</v>
      </c>
      <c r="K9" s="5">
        <v>384462</v>
      </c>
      <c r="L9" s="5">
        <v>0</v>
      </c>
      <c r="M9" s="5">
        <v>330000</v>
      </c>
      <c r="N9" s="4">
        <v>204</v>
      </c>
    </row>
    <row r="10" ht="25" customHeight="1">
      <c r="A10" s="6" t="str">
        <v>Total</v>
      </c>
      <c r="B10" s="7" t="str">
        <v/>
      </c>
      <c r="C10" s="7">
        <v>317659</v>
      </c>
      <c r="D10" s="7" t="str">
        <v/>
      </c>
      <c r="E10" s="7">
        <v>302869</v>
      </c>
      <c r="F10" s="7" t="str">
        <v/>
      </c>
      <c r="G10" s="7">
        <v>322759</v>
      </c>
      <c r="H10" s="7" t="str">
        <v/>
      </c>
      <c r="I10" s="7">
        <v>0</v>
      </c>
      <c r="J10" s="7">
        <v>949287</v>
      </c>
      <c r="K10" s="7">
        <v>949287</v>
      </c>
      <c r="L10" s="7">
        <v>110000</v>
      </c>
      <c r="M10" s="7">
        <v>330000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Grand Challenges and Scaling Flagships</v>
      </c>
      <c r="B3" s="4" t="str">
        <v>CIP</v>
      </c>
      <c r="C3" s="4" t="str">
        <v>HLO 2.2.2: Business models and market-led solutions</v>
      </c>
      <c r="D3" s="4" t="str">
        <v>A2P8.1: PoD name: Scaling Potato zero tillage and mulching in India. Lead Center: CIP. PoD KPI: Three -3  Knowledge products (PZTM training 6  video module, one scaling strategy or innovation packaging or scaling plan co‑designed with partners and  Inclusion of PZTM in Bihar extension plans )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Knowledege Products. Unit: Number of reports.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3" s="4" t="str">
        <v>Number of knowledge products</v>
      </c>
      <c r="F3" s="4" t="str">
        <v>India</v>
      </c>
      <c r="G3" s="5">
        <v>3</v>
      </c>
      <c r="H3" s="5">
        <v>133507</v>
      </c>
      <c r="I3" s="4" t="str" xml:space="preserve">
        <v xml:space="preserve">Three -3 Knowledge products (PZTM training 56 video module, one scaling strategy or innovation packaging or scaling plan co‑designed with partners and Inclusion of PZTM in Bihar extension plans ) that contribute for 10,000 – Ten thousand individuals applying CGIAR-linked PZTM innovations by the end of 2026
  15,210 	Top-off to Lead centre first KPI
</v>
      </c>
      <c r="J3" s="4">
        <v>5925</v>
      </c>
    </row>
    <row r="4" ht="50" customHeight="1">
      <c r="B4" s="4" t="str">
        <v>CIP</v>
      </c>
      <c r="D4" s="4" t="str">
        <v>A2P7.2: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Innovation Devolopment. Unit: Number of innovations.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4" s="4" t="str">
        <v>Number of innovations (innovation development)</v>
      </c>
      <c r="F4" s="4" t="str">
        <v>The Socialist Republic of Viet Nam</v>
      </c>
      <c r="G4" s="5">
        <v>2</v>
      </c>
      <c r="H4" s="5">
        <v>44362</v>
      </c>
      <c r="I4" s="4" t="str">
        <v>Two-2 Innovation developed (One inclusive business model operational and one policy/incentive framework) that contribute for 1,000,000 farmers applying CGIAR-linked Precision Nutrient Management innovations by end-2026</v>
      </c>
      <c r="J4" s="4">
        <v>5926</v>
      </c>
    </row>
    <row r="5" ht="50" customHeight="1">
      <c r="B5" s="4" t="str">
        <v>CIP</v>
      </c>
      <c r="D5" s="4" t="str">
        <v>A2P7.1: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Knowledege Products. Unit: Number of reports.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5" s="4" t="str">
        <v>Number of knowledge products</v>
      </c>
      <c r="F5" s="4" t="str">
        <v>The Socialist Republic of Viet Nam</v>
      </c>
      <c r="G5" s="5">
        <v>2</v>
      </c>
      <c r="H5" s="5">
        <v>44362</v>
      </c>
      <c r="I5" s="4" t="str">
        <v>Two-2 Knowledge products (National guidebook, Scaling strategy) that contribute for 1,000,000 farmers applying CGIAR-linked Precision Nutrient Management innovations by end-2026</v>
      </c>
      <c r="J5" s="4">
        <v>5928</v>
      </c>
    </row>
    <row r="6" ht="50" customHeight="1">
      <c r="B6" s="4" t="str">
        <v>CIP</v>
      </c>
      <c r="D6" s="4" t="str">
        <v>A2P8.3: PoD name: Scaling Potato zero tillage and mulching in India. Lead Center: CIP. PoD KPI: 50+ extension officers trained and Demos and screenings implemented across target districts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Capacity Sharing. Unit: Number of innovations.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6" s="4" t="str">
        <v>Number of people trained (capacity sharing for development)</v>
      </c>
      <c r="F6" s="4" t="str">
        <v>India</v>
      </c>
      <c r="G6" s="5">
        <v>50</v>
      </c>
      <c r="H6" s="5">
        <v>118297</v>
      </c>
      <c r="I6" s="4" t="str">
        <v>50+ extension officers trained and Demos and screenings implemented across target districts that contribute for 10,000 – Ten thousand individuals applying CGIAR-linked PZTM innovations by the end of 2026</v>
      </c>
      <c r="J6" s="4">
        <v>7952</v>
      </c>
    </row>
    <row r="7" ht="50" customHeight="1">
      <c r="B7" s="4" t="str">
        <v>CIP</v>
      </c>
      <c r="D7" s="4" t="str">
        <v>A2P8.2: PoD name: Scaling Potato zero tillage and mulching in India. Lead Center: CIP. PoD KPI: One 1 Innovations (Chat AI advisory content fully operational  and included in Farmer.Chat )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Innovation Devolopment. Unit: Number of innovations.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7" s="4" t="str">
        <v>Number of innovations (innovation development)</v>
      </c>
      <c r="F7" s="4" t="str">
        <v>India</v>
      </c>
      <c r="G7" s="5">
        <v>1</v>
      </c>
      <c r="H7" s="5">
        <v>118297</v>
      </c>
      <c r="I7" s="4" t="str">
        <v>One 1 Innovations (Chat AI advisory content fully operational and included in Farmer.Chat ) that contribute for 10,000 – Ten thousand individuals applying CGIAR-linked PZTM innovations by the end of 2026</v>
      </c>
      <c r="J7" s="4">
        <v>7953</v>
      </c>
    </row>
    <row r="8" ht="25" customHeight="1">
      <c r="C8" s="9" t="str">
        <v>HLO budget subtotal</v>
      </c>
      <c r="H8" s="9">
        <v>458825</v>
      </c>
      <c r="J8" s="9" t="str">
        <v/>
      </c>
    </row>
    <row r="9" ht="50" customHeight="1">
      <c r="A9" s="8" t="str">
        <v>AOW03: Enabling Environment Lab</v>
      </c>
      <c r="B9" s="4" t="str">
        <v>CIP</v>
      </c>
      <c r="C9" s="4" t="str">
        <v xml:space="preserve">HLO 3.3.2: Scaling support services for enabling environment and institutions </v>
      </c>
      <c r="D9" s="4" t="str">
        <v>A3P9.5: PoD name: Mainstreaming Inclusive and Responsible Scaling. Lead Center: CIP. PoD KPI: 3 – Three organizations in India applying and institutionalizing Responsible Scaling Strategies for conservation agriculture innovations, embedding gender and equity in national and subnational agricultural scaling systems by the end of 2026. Suggested Disaggregation: Not applicable for this organization-level KPI (focus is on number of SMEs and cooperatives rather than individual beneficiaries). Indicator type: Capacity Sharing. Unit: Number of organizations. PoD Description: This package will embed inclusive and responsible scaling practices into agrifood innovation systems systems through targeted solution tracks under AoW2,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CIP. Anticipated partners: Alliance of Bioversity and CIAT – Regional Hub (International Center for Tropical Agriculture / Centro Internacional de Agricultura Tropical) and associated country partners in Guatemala, Zambia, Colombia,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v>
      </c>
      <c r="E9" s="4" t="str">
        <v>Number of people trained (capacity sharing for development)</v>
      </c>
      <c r="F9" s="4" t="str">
        <v>India</v>
      </c>
      <c r="G9" s="5">
        <v>3</v>
      </c>
      <c r="H9" s="5">
        <v>50000</v>
      </c>
      <c r="I9" s="4" t="str">
        <v>3 – Three organizations in India applying and institutionalizing Responsible Scaling Strategies for conservation agriculture innovations, embedding gender and equity in national and subnational agricultural scaling systems by the end of 2026</v>
      </c>
      <c r="J9" s="4">
        <v>6017</v>
      </c>
    </row>
    <row r="10" ht="25" customHeight="1">
      <c r="C10" s="9" t="str">
        <v>HLO budget subtotal</v>
      </c>
      <c r="H10" s="9">
        <v>50000</v>
      </c>
      <c r="J10" s="9" t="str">
        <v/>
      </c>
    </row>
    <row r="11" ht="50" customHeight="1">
      <c r="A11" s="8" t="str">
        <v>AOW04: Achieving Impact by Unlocking Finance and Partnerships</v>
      </c>
      <c r="B11" s="4" t="str">
        <v>CIP</v>
      </c>
      <c r="C11" s="4" t="str">
        <v>HLO 4.4.1: Technical assistance for financing for innovation scaling</v>
      </c>
      <c r="D11" s="4" t="str">
        <v>A4P4.5: PoD name: Global Coordinated Clearinghouse established: New Frontier Lead Center: CIP, PoD KPI: 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 Suggested Disaggregation: 2 innovations benefiting women and youth (40%), 0.5 innovations targeting marginalized groups (10%), and 2.5 innovations for others (50%). Indicator type: Innovation Development. Unit: Number of innovations. PoD Description: This package delivers the development of a Globally Coordinated CGIAR Clearinghouse in partnership with major International Financial Institutions. It provides support to newly established regional Clearinghouses, such as the one hosted by IRRI at the Asian Development Bank, by sourcing and vetting scale-ready CGIAR innovations aligned with PRMS and marketing them through CGIAR e-catalogs. The work, with a horizon to 2026, involves forming committees with other CGIAR Centers to provide technical assistance and ensure innovations are integrated into future IFI investments across global priority countries. Accountable Center leading this PoD: CIP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v>
      </c>
      <c r="E11" s="4" t="str">
        <v>Number of innovations (innovation development)</v>
      </c>
      <c r="F11" s="4" t="str">
        <v>Rwanda, Peru, India, Philippines, Kenya</v>
      </c>
      <c r="G11" s="5">
        <v>5</v>
      </c>
      <c r="H11" s="5">
        <v>50000</v>
      </c>
      <c r="I11" s="4" t="str">
        <v>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v>
      </c>
      <c r="J11" s="4">
        <v>6047</v>
      </c>
    </row>
    <row r="12" ht="25" customHeight="1">
      <c r="C12" s="9" t="str">
        <v>HLO budget subtotal</v>
      </c>
      <c r="H12" s="9">
        <v>50000</v>
      </c>
      <c r="J12" s="9" t="str">
        <v/>
      </c>
    </row>
    <row r="13" ht="50" customHeight="1">
      <c r="A13" s="8" t="str">
        <v>AOW05: Learning for Impact</v>
      </c>
      <c r="B13" s="4" t="str">
        <v>CIP</v>
      </c>
      <c r="C13" s="4" t="str">
        <v xml:space="preserve">HLO 5.5.1: Scaling science for societal impact </v>
      </c>
      <c r="D13" s="4" t="str">
        <v>A5P3.1: PoD name: Scaling Forward: CAPSHA for Change. Lead Center: CIP. PoD KPI: 15– Fifteen organizations engaged and applying CGIAR scaling and adaptive management frameworks by end-2026. Suggested Disaggregation: 15 CGIAR programs and 15 partner organizations. Indicator type: Capacity Sharing. Unit: Number of organizations. PoD Description: This PoD builds CGIAR’s and partners’ institutional capacity in scaling science and adaptive management through the Scaling Training and Certification Framework, co-developed under the Scaling for Impact (S4I) Program and delivered via the CGIAR Scaling Hub Network (Nairobi, Nepal, and Latin America). The initiative provides self-paced modules, regional workshops, and applied learning labs that equip participants with practical skills in responsible scaling, systems thinking, MELIA, and partnership brokering. It targets CGIAR researchers, program managers, MEL specialists, and national and private-sector partners to institutionalize scaling as a core competency. By 2026, 30 organizations will have completed the certification framework and integrated adaptive management and scaling tools into institutional systems. Accountable Center: CIP. Partners: IWMI, Scaling Hub Network, national research institutes, and private-sector partners. Partner modality: In-kind collaboration for training, knowledge exchange, and applied learning;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E13" s="4" t="str">
        <v>Number of people trained (capacity sharing for development)</v>
      </c>
      <c r="F13" s="4" t="str">
        <v>Kenya</v>
      </c>
      <c r="G13" s="5">
        <v>15</v>
      </c>
      <c r="H13" s="5">
        <v>54462</v>
      </c>
      <c r="I13" s="4" t="str">
        <v xml:space="preserve">15– Fifteen organizations engaged and applying CGIAR scaling and adaptive management frameworks by end-2026. </v>
      </c>
      <c r="J13" s="4">
        <v>6067</v>
      </c>
    </row>
    <row r="14" ht="50" customHeight="1" xml:space="preserve">
      <c r="B14" s="4" t="str">
        <v>CIP</v>
      </c>
      <c r="D14" s="4" t="str" xml:space="preserve">
        <v xml:space="preserve">A5P8.4: PoD name: Dynamic Learning Strategy and Learning Fund for AoW2 Flagships. Lead Center: CIP. PoD KPI: 19 – Nineteen learning plans completed in 2026 to guide baseline assessments, indicator tracking, and reporting, strengthening evidence-based decision-making and adaptive management across AoW2 flagships and their solution tracks. Suggested Disaggregation: Not applicable, as the KPI counts learning products rather than individuals. Indicator type: Other outputs. Unit: Number of learning plans.  
Activity description: Dynamic Learning Strategy Framework: 19 learning plans will be developed in early 2026 in collaboration with the S4I IPSR Critical Capability and AoW2 IPSR workshops. These plans will include baseline assessments and indicator tracking and reporting in line with Program and CGIAR guidelines. Together, they will generate the evidence and inputs needed to inform the development of the Dynamic Learning Strategy Framework."</v>
      </c>
      <c r="E14" s="4" t="str">
        <v>Number of knowledge products</v>
      </c>
      <c r="F14" s="4" t="str">
        <v>Kenya</v>
      </c>
      <c r="G14" s="5">
        <v>19</v>
      </c>
      <c r="H14" s="5">
        <v>50000</v>
      </c>
      <c r="I14" s="4" t="str">
        <v>6 – Six cumulative validated Dynamic Learning workshops completed by the end of 2026, resulting in co-designed and operational learning plans across AoW 2 solution tracks.</v>
      </c>
      <c r="J14" s="4">
        <v>6085</v>
      </c>
    </row>
    <row r="15" ht="50" customHeight="1">
      <c r="B15" s="4" t="str">
        <v>CIP</v>
      </c>
      <c r="D15" s="4" t="str">
        <v>A5P8.5: PoD name: Dynamic Learning Strategy and Learning Fund for AoW2 Flagships. Lead Center: CIP. PoD KPI: 19 – Nineteen learning plans completed (training delivered) in 2026 to guide baseline assessments, indicator tracking, and reporting, strengthening evidence-based decision-making and adaptive management across AoW2 flagships and their solution tracks. Suggested Disaggregation: Not applicable, as the KPI counts learning products rather than individuals. Indicator type: Capacity Sharing. Unit: Number of trainings. PoD Description: This activity will design and operationalize a Dynamic Learning Strategy to strengthen evidence-based decision-making and adaptive management across AoW2 flagships and their associated solution tracks. The strategy will employ a mixed-methods approach allowing for short-term and medium-term learning. Various activities in this PoD will conducted with all/few solution tracks that will contribute to (1) learning; (2) assessing S4I progress on outcomes against targets; and (3) informing the stage-gating process of AoW2. In (1), a dynamic learning framework will be developed and implemented; in (2) one AI-based phone survey system developed and validated for rapid KPI collection across 5 AoW-2 Solution Tracks by end-2026, featuring clean data storage and local language support. All data and evidence collected in this PoD will contribute to the stage-gating of AoW2 solution tracks.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v>
      </c>
      <c r="E15" s="4" t="str">
        <v>Number of people trained (capacity sharing for development)</v>
      </c>
      <c r="F15" s="4" t="str">
        <v>Kenya</v>
      </c>
      <c r="G15" s="5">
        <v>1</v>
      </c>
      <c r="H15" s="5">
        <v>100000</v>
      </c>
      <c r="I15" s="4" t="str">
        <v>19 – Nineteen learning plans completed in 2026 to guide baseline assessments, indicator tracking, and reporting, strengthening evidence-based decision-making and adaptive management across AoW2 flagships and their solution tracks. Suggested</v>
      </c>
      <c r="J15" s="4">
        <v>8097</v>
      </c>
    </row>
    <row r="16" ht="50" customHeight="1" xml:space="preserve">
      <c r="B16" s="4" t="str">
        <v>CIP</v>
      </c>
      <c r="D16" s="4" t="str" xml:space="preserve">
        <v xml:space="preserve">A5P8.6: PoD name: Dynamic Learning Strategy and Learning Fund for AoW2 Flagships. Lead Center: CIP. PoD KPI: One AI-based phone survey system developed and validated for rapid KPI collection across 5 AoW-2 Solution Tracks by end-2026, featuring clean data storage and local language support. Suggested Disaggregation: Not applicable, as the KPI counts learning products rather than individuals. Indicator type: Innovation development. Unit: Number of innovations integrated. 
PoD Description: Rigorous MEL
This covers the design, piloting, and deployment of a shared AI-based phone survey system for the rapid collection of KPI and outcome data across AoW-2 Solution Tracks. The system calls beneficiaries on their mobile phones, administers a structured survey in local languages, and stores clean data for MELIA analysis. At least five surveys are envisioned from the pool of AoW-2 Solution Tracks, with the PZTM track at CIP serving as the lead proof-of-concept. The system directly strengthens the rigour of AoW-2 MELIA by enabling low-cost, rapid data collection on adoption, income, and gender indicators across multiple geographies, and by generating standardised, comparable metrics that feed into Stage Gating assessments and cross-track learning. "</v>
      </c>
      <c r="E16" s="4" t="str">
        <v>Number of innovations (innovation development)</v>
      </c>
      <c r="F16" s="4" t="str">
        <v>Kenya</v>
      </c>
      <c r="G16" s="5">
        <v>5</v>
      </c>
      <c r="H16" s="5">
        <v>45000</v>
      </c>
      <c r="I16" s="4" t="str">
        <v>across 5 AoW-2 Solution Tracks One AI-based phone survey system developed and validated for rapid KPI collection by end-2026</v>
      </c>
      <c r="J16" s="4">
        <v>8098</v>
      </c>
    </row>
    <row r="17" ht="50" customHeight="1" xml:space="preserve">
      <c r="B17" s="4" t="str">
        <v>CIP</v>
      </c>
      <c r="D17" s="4" t="str" xml:space="preserve">
        <v xml:space="preserve">A5P8.7: PoD name: Dynamic Learning Strategy and Learning Fund for AoW2 Flagships. Lead Center: CIP. PoD KPI: 1 – Data collected collected through phone-based surveys, cleaned, analyzed, and visualized in dashboards by the end of 2026. Suggested Disaggregation: Not applicable, as the KPI counts knowledge products rather than individuals. . Indicator type: Other outputs. Unit: Number of dashboards.
PoD Description: Rigorous MEL
This covers the design, piloting, and deployment of a shared AI-based phone survey system for the rapid collection of KPI and outcome data across AoW-2 Solution Tracks. The system calls beneficiaries on their mobile phones, administers a structured survey in local languages, and stores clean data for MELIA analysis. At least five surveys are envisioned from the pool of AoW-2 Solution Tracks, with the PZTM track at CIP serving as the lead proof-of-concept. The system directly strengthens the rigour of AoW-2 MELIA by enabling low-cost, rapid data collection on adoption, income, and gender indicators across multiple geographies, and by generating standardised, comparable metrics that feed into Stage Gating assessments and cross-track learning.
Activity description: Data collected collected through phone-based surveys, cleaned, analyzed, and visualized in dashboards"</v>
      </c>
      <c r="E17" s="4" t="str">
        <v>Number of innovations (innovation development)</v>
      </c>
      <c r="F17" s="4" t="str">
        <v>Kenya</v>
      </c>
      <c r="G17" s="5">
        <v>5</v>
      </c>
      <c r="H17" s="5">
        <v>50000</v>
      </c>
      <c r="I17" s="4" t="str">
        <v>Data collected collected through phone-based surveys, cleaned, analyzed, and visualized in dashboards by the end of 2026.</v>
      </c>
      <c r="J17" s="4">
        <v>8099</v>
      </c>
    </row>
    <row r="18" ht="50" customHeight="1">
      <c r="A18" s="4" t="str">
        <v>AOW05: Learning for Impact</v>
      </c>
      <c r="B18" s="4" t="str">
        <v>CIP</v>
      </c>
      <c r="C18" s="4" t="str">
        <v>HLO 5.5.2: Evidence-based evaluation and dynamic learning insights</v>
      </c>
      <c r="D18" s="4" t="str">
        <v>A5P9.1: PoD name (Lead Center: CIP): Evaluating the Reach and Impact of AI-Powered Advisory Services: FarmerChat in Kenya. PoD KPI: 1 – One finalized evaluation report and policy brief produced by the end of 2026, summarizing the findings and providing actionable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rigorously tests and establishes the causal effects of the Digital Green (DG) FarmerChat platform in Kenya. It evaluates specific indicators such as reach, inclusivity, cost-effectiveness, and returns on investment. The project involves an analysis of the current scientific literature on artificial intelligence and extension in LMIC. In 2026, the focus will be on measuring access to tailored extension advice, farmers' knowledge of agricultural practices, and the uptake of new technologies. In 2028, the final evaluation will focus on benefits, cost-effectiveness, and benefit-cost analyses. The findings will inform the scaling potential of conversational AI in agriculture, influencing DG, government bodies, and private advisory services. Accountable Center leading this PoD: CIP.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v>
      </c>
      <c r="E18" s="4" t="str">
        <v>Number of knowledge products</v>
      </c>
      <c r="F18" s="4" t="str">
        <v>Kenya</v>
      </c>
      <c r="G18" s="5">
        <v>1</v>
      </c>
      <c r="H18" s="5">
        <v>75000</v>
      </c>
      <c r="I18" s="4" t="str">
        <v>1 – One finalized evaluation report and policy brief produced by the end of 2026, summarizing the findings and providing actionable recommendations for scaling AI-based advisory models in Kenya.</v>
      </c>
      <c r="J18" s="4">
        <v>7951</v>
      </c>
    </row>
    <row r="19" ht="50" customHeight="1" xml:space="preserve">
      <c r="B19" s="4" t="str">
        <v>CIP</v>
      </c>
      <c r="D19" s="4" t="str" xml:space="preserve">
        <v xml:space="preserve">A5P12.7 PoD Name: Dynamic Learning and Adaptive Management Strategy — CIP S4I Scaling Pathway Engagement: KPI Title: Dynamic Learning IPSR Workshop Documentation and MEL Strategy for Potato Zero Tillage and Mulching (PZTM) Solution Track
PoD KPI: 1 — One completed Innovation Package Scaling Readiness (IPSR) assessment uploaded to PRMS for CIP’s AoW2 Flagship Solution Track (scaling potato zero tillage and mulching in India),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CIP’s solution track in AoW2 — specifically scaling potato zero tillage and mulching in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CIP. PoD Owner: Iddo Dror. KPI Owner: m.gatto@cgiar.org. Anticipated partners: Not applicable. Partner modality: Not applicable. Countries of implementation: India. Location of benefit: India.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v>
      </c>
      <c r="E19" s="4" t="str">
        <v>Number of innovations (innovation development)</v>
      </c>
      <c r="F19" s="4" t="str">
        <v>India</v>
      </c>
      <c r="G19" s="5">
        <v>1</v>
      </c>
      <c r="H19" s="5">
        <v>10000</v>
      </c>
      <c r="I19" s="4" t="str">
        <v>1 — One completed Innovation Package Scaling Readiness (IPSR) assessment uploaded to PRMS for CIP’s AoW2 Flagship Solution Track (scaling potato zero tillage and mulching in India), delivered by end of 2026</v>
      </c>
      <c r="J19" s="4">
        <v>8108</v>
      </c>
    </row>
    <row r="20" ht="25" customHeight="1">
      <c r="C20" s="9" t="str">
        <v>HLO budget subtotal</v>
      </c>
      <c r="H20" s="9">
        <v>384462</v>
      </c>
      <c r="J20" s="9" t="str">
        <v/>
      </c>
    </row>
  </sheetData>
  <mergeCells count="17">
    <mergeCell ref="A1:A2"/>
    <mergeCell ref="B1:B2"/>
    <mergeCell ref="C1:C2"/>
    <mergeCell ref="D1:H1"/>
    <mergeCell ref="I1:I2"/>
    <mergeCell ref="J1:J2"/>
    <mergeCell ref="C3:C7"/>
    <mergeCell ref="C8:G8"/>
    <mergeCell ref="A3:A8"/>
    <mergeCell ref="C10:G10"/>
    <mergeCell ref="A9:A10"/>
    <mergeCell ref="C12:G12"/>
    <mergeCell ref="A11:A12"/>
    <mergeCell ref="C13:C17"/>
    <mergeCell ref="C18:C19"/>
    <mergeCell ref="C20:G20"/>
    <mergeCell ref="A13:A20"/>
  </mergeCells>
  <ignoredErrors>
    <ignoredError numberStoredAsText="1" sqref="A1:J20"/>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Grand Challenges and Scaling Flagships</v>
      </c>
      <c r="B2" s="4" t="str">
        <v>ThaiBinh Seed Research Center</v>
      </c>
      <c r="C2" s="4" t="str">
        <v>CIP</v>
      </c>
      <c r="D2" s="4" t="str">
        <v>The Socialist Republic of Viet Nam</v>
      </c>
      <c r="E2" s="5">
        <v>5000</v>
      </c>
      <c r="F2" s="4" t="str">
        <v xml:space="preserve">CIP -PoD name: Precision nutrient management at scale: Supporting Vietnam’s One-Million-Ha high-quality and low-emission rice program. </v>
      </c>
      <c r="G2" s="4">
        <v>184</v>
      </c>
    </row>
    <row r="3" ht="50" customHeight="1">
      <c r="A3" s="4" t="str">
        <v>AOW02: Grand Challenges and Scaling Flagships</v>
      </c>
      <c r="B3" s="4" t="str">
        <v>Can Tho University</v>
      </c>
      <c r="C3" s="4" t="str">
        <v>CIP</v>
      </c>
      <c r="D3" s="4" t="str">
        <v>The Socialist Republic of Viet Nam</v>
      </c>
      <c r="E3" s="5">
        <v>5000</v>
      </c>
      <c r="F3" s="4" t="str">
        <v xml:space="preserve">CIP PoD name: Precision nutrient management at scale: Supporting Vietnam’s One-Million-Ha high-quality and low-emission rice program. </v>
      </c>
      <c r="G3" s="4">
        <v>185</v>
      </c>
    </row>
    <row r="4" ht="50" customHeight="1">
      <c r="A4" s="4" t="str">
        <v>AOW02: Grand Challenges and Scaling Flagships</v>
      </c>
      <c r="B4" s="4" t="str">
        <v>Unknown Center</v>
      </c>
      <c r="C4" s="4" t="str">
        <v>CIP</v>
      </c>
      <c r="D4" s="4" t="str">
        <v>India</v>
      </c>
      <c r="E4" s="5">
        <v>90000</v>
      </c>
      <c r="F4" s="4" t="str">
        <v>A2P8.1: PoD name: Scaling Potato zero tillage and mulching in India. Lead Center: CIP.</v>
      </c>
      <c r="G4" s="4">
        <v>360</v>
      </c>
    </row>
    <row r="5" ht="25" customHeight="1">
      <c r="B5" s="9" t="str">
        <v>Contracted partners subtotal</v>
      </c>
      <c r="E5" s="9">
        <v>100000</v>
      </c>
      <c r="F5" s="9" t="str">
        <v/>
      </c>
      <c r="G5" s="9" t="str">
        <v/>
      </c>
    </row>
    <row r="6" ht="50" customHeight="1">
      <c r="A6" s="8" t="str">
        <v>AOW03: Enabling Environment Lab</v>
      </c>
      <c r="B6" s="4" t="str">
        <v>Nature Environment &amp; Wildlife Society</v>
      </c>
      <c r="C6" s="4" t="str">
        <v>CIP</v>
      </c>
      <c r="D6" s="4" t="str">
        <v>India</v>
      </c>
      <c r="E6" s="5">
        <v>10000</v>
      </c>
      <c r="F6" s="4" t="str">
        <v>Nature, Environmnent, Wildlife and Society (NEWS)</v>
      </c>
      <c r="G6" s="4">
        <v>182</v>
      </c>
    </row>
    <row r="7" ht="25" customHeight="1">
      <c r="B7" s="9" t="str">
        <v>Contracted partners subtotal</v>
      </c>
      <c r="E7" s="9">
        <v>10000</v>
      </c>
      <c r="F7" s="9" t="str">
        <v/>
      </c>
      <c r="G7" s="9" t="str">
        <v/>
      </c>
    </row>
  </sheetData>
  <mergeCells count="4">
    <mergeCell ref="B5:D5"/>
    <mergeCell ref="A2:A5"/>
    <mergeCell ref="B7:D7"/>
    <mergeCell ref="A6:A7"/>
  </mergeCells>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CIP</v>
      </c>
      <c r="B2" s="4" t="str">
        <v>P-1520-GOO0-Sustainable Intensification of Potato for Achiev</v>
      </c>
      <c r="C2" s="4" t="str">
        <v>HLO 2.2.2: Business models and market-led solutions</v>
      </c>
      <c r="D2" s="5">
        <v>317956</v>
      </c>
      <c r="E2" s="4" t="str">
        <v>As per W3 and Bilateral mapping dashboard</v>
      </c>
      <c r="F2" s="4">
        <v>1150</v>
      </c>
    </row>
    <row r="3" ht="60" customHeight="1">
      <c r="A3" s="4" t="str">
        <v>CIP</v>
      </c>
      <c r="B3" s="4" t="str">
        <v>P-1568-WBS0-Developing Local Seed Potato Production System i</v>
      </c>
      <c r="C3" s="4" t="str">
        <v>HLO 2.2.2: Business models and market-led solutions</v>
      </c>
      <c r="D3" s="5">
        <v>138156</v>
      </c>
      <c r="E3" s="4" t="str">
        <v>As per W3 and Bilateral mapping dashboard</v>
      </c>
      <c r="F3" s="4">
        <v>1147</v>
      </c>
    </row>
    <row r="4" ht="60" customHeight="1">
      <c r="A4" s="4" t="str">
        <v>CIP</v>
      </c>
      <c r="B4" s="4" t="str">
        <v>P-1580-IAI0-Market-led Transformation of the Root and Tuber</v>
      </c>
      <c r="C4" s="4" t="str">
        <v xml:space="preserve">HLO 3.3.2: Scaling support services for enabling environment and institutions </v>
      </c>
      <c r="D4" s="5">
        <v>0</v>
      </c>
      <c r="E4" s="4" t="str">
        <v/>
      </c>
      <c r="F4" s="4">
        <v>1166</v>
      </c>
    </row>
    <row r="5" ht="25" customHeight="1">
      <c r="B5" s="9" t="str">
        <v>W3/Bilateral budget subtotal</v>
      </c>
      <c r="D5" s="9">
        <v>456112</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1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CIP</v>
      </c>
      <c r="C2" s="4" t="str">
        <v>A5P8.4: PoD name: Dynamic Learning Strategy and Learning Fund for AoW2 Flagships. Lead Center: CIP.</v>
      </c>
      <c r="D2" s="4" t="str">
        <v>Climate Adaptation and Mitigation Nutrition, Health and Food Security 5. Partners use science for scaling 2. Scaling partners enable access to agrifood solutions Poverty Reduction, Livelihoods and Jobs</v>
      </c>
      <c r="E2" s="4" t="str">
        <v>N/A</v>
      </c>
      <c r="F2" s="5">
        <v>0</v>
      </c>
      <c r="G2" s="4" t="str">
        <v/>
      </c>
      <c r="H2" s="4">
        <v>502</v>
      </c>
    </row>
    <row r="3" ht="60" customHeight="1">
      <c r="A3" s="4" t="str">
        <v>AOW00: Cross Cutting</v>
      </c>
      <c r="B3" s="4" t="str">
        <v>CIP</v>
      </c>
      <c r="C3" s="4" t="str">
        <v>A5P12.7 PoD Name: Dynamic Learning and Adaptive Management Strategy — CIP S4I Scaling Pathway Engagement</v>
      </c>
      <c r="D3" s="4" t="str">
        <v>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v>
      </c>
      <c r="E3" s="4" t="str">
        <v>N/A</v>
      </c>
      <c r="F3" s="5">
        <v>0</v>
      </c>
      <c r="G3" s="4" t="str">
        <v/>
      </c>
      <c r="H3" s="4">
        <v>521</v>
      </c>
    </row>
    <row r="4" ht="25" customHeight="1">
      <c r="C4" s="9" t="str">
        <v>MELIA budget subtotal</v>
      </c>
      <c r="F4" s="9">
        <v>0</v>
      </c>
      <c r="G4" s="9" t="str">
        <v/>
      </c>
      <c r="H4" s="9" t="str">
        <v/>
      </c>
    </row>
    <row r="5" ht="60" customHeight="1">
      <c r="A5" s="8" t="str">
        <v>AOW02: Grand Challenges and Scaling Flagships</v>
      </c>
      <c r="B5" s="4" t="str">
        <v>CIP</v>
      </c>
      <c r="C5" s="4" t="str">
        <v>A5P12.7 PoD Name: Dynamic Learning and Adaptive Management Strategy — CIP S4I Scaling Pathway Engagement</v>
      </c>
      <c r="D5" s="4" t="str">
        <v>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v>
      </c>
      <c r="E5" s="4" t="str">
        <v>N/A</v>
      </c>
      <c r="F5" s="5">
        <v>0</v>
      </c>
      <c r="G5" s="4" t="str">
        <v/>
      </c>
      <c r="H5" s="4">
        <v>520</v>
      </c>
    </row>
    <row r="6" ht="25" customHeight="1">
      <c r="C6" s="9" t="str">
        <v>MELIA budget subtotal</v>
      </c>
      <c r="F6" s="9">
        <v>0</v>
      </c>
      <c r="G6" s="9" t="str">
        <v/>
      </c>
      <c r="H6" s="9" t="str">
        <v/>
      </c>
    </row>
    <row r="7" ht="60" customHeight="1" xml:space="preserve">
      <c r="A7" s="8" t="str">
        <v>AOW05: Learning for Impact</v>
      </c>
      <c r="B7" s="4" t="str">
        <v>CIP</v>
      </c>
      <c r="C7" s="4" t="str">
        <v>A5P8.4: PoD name: Dynamic Learning Strategy and Learning Fund for AoW2 Flagships. Lead Center: CIP.</v>
      </c>
      <c r="D7" s="4" t="str">
        <v>Climate Adaptation and Mitigation Nutrition, Health and Food Security 5. Partners use science for scaling 2. Scaling partners enable access to agrifood solutions Poverty Reduction, Livelihoods and Jobs</v>
      </c>
      <c r="E7" s="4" t="str">
        <v>N/A</v>
      </c>
      <c r="F7" s="5">
        <v>50000</v>
      </c>
      <c r="G7" s="4" t="str" xml:space="preserve">
        <v xml:space="preserve">MELIA study	Supported outcomes	Total budget (USD)
A5P8.4: PoD name: Dynamic Learning Strategy and Learning Fund for AoW2 Flagships. Lead Center: CIP.</v>
      </c>
      <c r="H7" s="4">
        <v>460</v>
      </c>
    </row>
    <row r="8" ht="60" customHeight="1">
      <c r="A8" s="4" t="str">
        <v>AOW05: Learning for Impact</v>
      </c>
      <c r="B8" s="4" t="str">
        <v>CIP</v>
      </c>
      <c r="C8" s="4" t="str">
        <v xml:space="preserve">A5P8.5: PoD name: Dynamic Learning Strategy and Learning Fund for AoW2 Flagships. Lead Center: CIP. </v>
      </c>
      <c r="D8" s="4" t="str">
        <v>HLO 5.5.1: Scaling science for societal impact</v>
      </c>
      <c r="E8" s="4" t="str">
        <v>N/A</v>
      </c>
      <c r="F8" s="5">
        <v>100000</v>
      </c>
      <c r="G8" s="4" t="str">
        <v>A5P8.5: PoD name: Dynamic Learning Strategy and Learning Fund for AoW2 Flagships. Lead Center: CIP.</v>
      </c>
      <c r="H8" s="4">
        <v>466</v>
      </c>
    </row>
    <row r="9" ht="60" customHeight="1">
      <c r="A9" s="4" t="str">
        <v>AOW05: Learning for Impact</v>
      </c>
      <c r="B9" s="4" t="str">
        <v>CIP</v>
      </c>
      <c r="C9" s="4" t="str">
        <v>A5P9.1: PoD name (Lead Center: CIP): Evaluating the Reach and Impact of AI-Powered Advisory Services: FarmerChat in Kenya.</v>
      </c>
      <c r="D9" s="4" t="str">
        <v>HLO 5.5.1: Scaling science for societal impact</v>
      </c>
      <c r="E9" s="4" t="str">
        <v>N/A</v>
      </c>
      <c r="F9" s="5">
        <v>75000</v>
      </c>
      <c r="G9" s="4" t="str">
        <v>A5P9.1: PoD name (Lead Center: CIP): Evaluating the Reach and Impact of AI-Powered Advisory Services: FarmerChat in Kenya.</v>
      </c>
      <c r="H9" s="4">
        <v>467</v>
      </c>
    </row>
    <row r="10" ht="60" customHeight="1">
      <c r="A10" s="4" t="str">
        <v>AOW05: Learning for Impact</v>
      </c>
      <c r="B10" s="4" t="str">
        <v>CIP</v>
      </c>
      <c r="C10" s="4" t="str">
        <v>A5P12.7 PoD Name: Dynamic Learning and Adaptive Management Strategy — CIP S4I Scaling Pathway Engagement</v>
      </c>
      <c r="D10" s="4" t="str">
        <v>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v>
      </c>
      <c r="E10" s="4" t="str">
        <v>N/A</v>
      </c>
      <c r="F10" s="5">
        <v>10000</v>
      </c>
      <c r="G10" s="4" t="str">
        <v>A5P12.7 PoD Name: Dynamic Learning and Adaptive Management Strategy — CIP S4I Scaling Pathway Engagement</v>
      </c>
      <c r="H10" s="4">
        <v>495</v>
      </c>
    </row>
    <row r="11" ht="60" customHeight="1">
      <c r="A11" s="4" t="str">
        <v>AOW05: Learning for Impact</v>
      </c>
      <c r="B11" s="4" t="str">
        <v>CIP</v>
      </c>
      <c r="C11" s="4" t="str">
        <v xml:space="preserve">A5P8.7: PoD name: Dynamic Learning Strategy and Learning Fund for AoW2 Flagships. Lead Center: CIP. </v>
      </c>
      <c r="D11" s="4" t="str">
        <v>HLO 5.5.2: Evidence-based evaluation and dynamic learning insights</v>
      </c>
      <c r="E11" s="4" t="str">
        <v>N/A</v>
      </c>
      <c r="F11" s="5">
        <v>50000</v>
      </c>
      <c r="G11" s="4" t="str">
        <v xml:space="preserve"> A5P8.7: PoD name: Dynamic Learning Strategy and Learning Fund for AoW2 Flagships. Lead Center: CIP.</v>
      </c>
      <c r="H11" s="4">
        <v>531</v>
      </c>
    </row>
    <row r="12" ht="60" customHeight="1">
      <c r="A12" s="4" t="str">
        <v>AOW05: Learning for Impact</v>
      </c>
      <c r="B12" s="4" t="str">
        <v>CIP</v>
      </c>
      <c r="C12" s="4" t="str">
        <v>A5P8.6: PoD name: Dynamic Learning Strategy and Learning Fund for AoW2 Flagships. Lead Center: CIP</v>
      </c>
      <c r="D12" s="4" t="str">
        <v>HLO 5.5.1: Scaling science for societal impact HLO 5.5.2: Evidence-based evaluation and dynamic learning insights</v>
      </c>
      <c r="E12" s="4" t="str">
        <v>N/A</v>
      </c>
      <c r="F12" s="5">
        <v>45000</v>
      </c>
      <c r="G12" s="4" t="str">
        <v>A5P8.6: PoD name: Dynamic Learning Strategy and Learning Fund for AoW2 Flagships. Lead Center: CIP</v>
      </c>
      <c r="H12" s="4">
        <v>532</v>
      </c>
    </row>
    <row r="13" ht="25" customHeight="1">
      <c r="C13" s="9" t="str">
        <v>MELIA budget subtotal</v>
      </c>
      <c r="F13" s="9">
        <v>330000</v>
      </c>
      <c r="G13" s="9" t="str">
        <v/>
      </c>
      <c r="H13" s="9" t="str">
        <v/>
      </c>
    </row>
  </sheetData>
  <mergeCells count="6">
    <mergeCell ref="C4:E4"/>
    <mergeCell ref="A2:A4"/>
    <mergeCell ref="C6:E6"/>
    <mergeCell ref="A5:A6"/>
    <mergeCell ref="C13:E13"/>
    <mergeCell ref="A7:A13"/>
  </mergeCells>
  <ignoredErrors>
    <ignoredError numberStoredAsText="1" sqref="A1:H13"/>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CIP</v>
      </c>
      <c r="C2" s="4" t="str">
        <v>Area of Work Leads</v>
      </c>
      <c r="D2" s="5">
        <v>6000</v>
      </c>
      <c r="E2" s="4" t="str">
        <v>Q1 2026 FTE costs for Transitional Area of Work (AoW) Leaders at $6000 per leader</v>
      </c>
      <c r="F2" s="4">
        <v>171</v>
      </c>
      <c r="G2" s="4">
        <v>3</v>
      </c>
    </row>
    <row r="3" ht="25" customHeight="1">
      <c r="C3" s="9" t="str">
        <v>Cross-cutting budget subtotal</v>
      </c>
      <c r="D3" s="9">
        <v>6000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6000</v>
      </c>
      <c r="C2" s="5">
        <v>0</v>
      </c>
      <c r="D2" s="5">
        <v>232235</v>
      </c>
      <c r="E2" s="5">
        <v>27942</v>
      </c>
      <c r="F2" s="5">
        <v>48553</v>
      </c>
      <c r="G2" s="5">
        <v>294282</v>
      </c>
      <c r="H2" s="5">
        <f>=SUM(B2:G2)</f>
        <v>0</v>
      </c>
    </row>
    <row r="3" ht="20" customHeight="1">
      <c r="A3" s="4" t="str">
        <v>Operations (supplies, consultants, travels, workshops, other)</v>
      </c>
      <c r="B3" s="5">
        <v>0</v>
      </c>
      <c r="C3" s="5">
        <v>0</v>
      </c>
      <c r="D3" s="5">
        <v>126590</v>
      </c>
      <c r="E3" s="5">
        <v>12058</v>
      </c>
      <c r="F3" s="5">
        <v>1447</v>
      </c>
      <c r="G3" s="5">
        <v>90180</v>
      </c>
      <c r="H3" s="5">
        <f>=SUM(B3:G3)</f>
        <v>0</v>
      </c>
    </row>
    <row r="4" ht="20" customHeight="1">
      <c r="A4" s="4" t="str">
        <v>Collaborators non-CGIAR centers</v>
      </c>
      <c r="B4" s="5">
        <v>0</v>
      </c>
      <c r="C4" s="5">
        <v>0</v>
      </c>
      <c r="D4" s="5">
        <v>100000</v>
      </c>
      <c r="E4" s="5">
        <v>10000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CIP</v>
      </c>
      <c r="C2" s="4" t="str">
        <v>Kenya</v>
      </c>
      <c r="D2" s="5">
        <v>100</v>
      </c>
      <c r="E2" s="4">
        <v>3239</v>
      </c>
    </row>
    <row r="3" ht="45" customHeight="1">
      <c r="A3" s="8" t="str">
        <v>AOW02: Grand Challenges and Scaling Flagships</v>
      </c>
      <c r="B3" s="4" t="str">
        <v>CIP</v>
      </c>
      <c r="C3" s="4" t="str">
        <v>India</v>
      </c>
      <c r="D3" s="5">
        <v>80</v>
      </c>
      <c r="E3" s="4">
        <v>1580</v>
      </c>
    </row>
    <row r="4" ht="45" customHeight="1">
      <c r="A4" s="4" t="str">
        <v>AOW02: Grand Challenges and Scaling Flagships</v>
      </c>
      <c r="B4" s="4" t="str">
        <v>CIP</v>
      </c>
      <c r="C4" s="4" t="str">
        <v>The Socialist Republic of Viet Nam</v>
      </c>
      <c r="D4" s="5">
        <v>20</v>
      </c>
      <c r="E4" s="4">
        <v>1581</v>
      </c>
    </row>
    <row r="5" ht="45" customHeight="1">
      <c r="A5" s="8" t="str">
        <v>AOW03: Enabling Environment Lab</v>
      </c>
      <c r="B5" s="4" t="str">
        <v>CIP</v>
      </c>
      <c r="C5" s="4" t="str">
        <v>India</v>
      </c>
      <c r="D5" s="5">
        <v>100</v>
      </c>
      <c r="E5" s="4">
        <v>1220</v>
      </c>
    </row>
    <row r="6" ht="45" customHeight="1">
      <c r="A6" s="8" t="str">
        <v>AOW04: Achieving Impact by Unlocking Finance and Partnerships</v>
      </c>
      <c r="B6" s="4" t="str">
        <v>CIP</v>
      </c>
      <c r="C6" s="4" t="str">
        <v>India</v>
      </c>
      <c r="D6" s="5">
        <v>20</v>
      </c>
      <c r="E6" s="4">
        <v>1752</v>
      </c>
    </row>
    <row r="7" ht="45" customHeight="1">
      <c r="A7" s="4" t="str">
        <v>AOW04: Achieving Impact by Unlocking Finance and Partnerships</v>
      </c>
      <c r="B7" s="4" t="str">
        <v>CIP</v>
      </c>
      <c r="C7" s="4" t="str">
        <v>Kenya</v>
      </c>
      <c r="D7" s="5">
        <v>20</v>
      </c>
      <c r="E7" s="4">
        <v>1753</v>
      </c>
    </row>
    <row r="8" ht="45" customHeight="1">
      <c r="A8" s="4" t="str">
        <v>AOW04: Achieving Impact by Unlocking Finance and Partnerships</v>
      </c>
      <c r="B8" s="4" t="str">
        <v>CIP</v>
      </c>
      <c r="C8" s="4" t="str">
        <v>Peru</v>
      </c>
      <c r="D8" s="5">
        <v>20</v>
      </c>
      <c r="E8" s="4">
        <v>1754</v>
      </c>
    </row>
    <row r="9" ht="45" customHeight="1">
      <c r="A9" s="4" t="str">
        <v>AOW04: Achieving Impact by Unlocking Finance and Partnerships</v>
      </c>
      <c r="B9" s="4" t="str">
        <v>CIP</v>
      </c>
      <c r="C9" s="4" t="str">
        <v>Philippines</v>
      </c>
      <c r="D9" s="5">
        <v>20</v>
      </c>
      <c r="E9" s="4">
        <v>1755</v>
      </c>
    </row>
    <row r="10" ht="45" customHeight="1">
      <c r="A10" s="4" t="str">
        <v>AOW04: Achieving Impact by Unlocking Finance and Partnerships</v>
      </c>
      <c r="B10" s="4" t="str">
        <v>CIP</v>
      </c>
      <c r="C10" s="4" t="str">
        <v>Rwanda</v>
      </c>
      <c r="D10" s="5">
        <v>20</v>
      </c>
      <c r="E10" s="4">
        <v>1756</v>
      </c>
    </row>
    <row r="11" ht="45" customHeight="1">
      <c r="A11" s="8" t="str">
        <v>AOW05: Learning for Impact</v>
      </c>
      <c r="B11" s="4" t="str">
        <v>CIP</v>
      </c>
      <c r="C11" s="4" t="str">
        <v>Kenya</v>
      </c>
      <c r="D11" s="5">
        <v>100</v>
      </c>
      <c r="E11" s="4">
        <v>1582</v>
      </c>
    </row>
  </sheetData>
  <mergeCells count="5">
    <mergeCell ref="A2"/>
    <mergeCell ref="A3:A4"/>
    <mergeCell ref="A5"/>
    <mergeCell ref="A6:A10"/>
    <mergeCell ref="A11"/>
  </mergeCells>
  <ignoredErrors>
    <ignoredError numberStoredAsText="1" sqref="A1:E11"/>
  </ignoredErrors>
</worksheet>
</file>

<file path=xl/worksheets/sheet9.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CIP</v>
      </c>
      <c r="C2" s="4" t="str">
        <v>Global</v>
      </c>
      <c r="D2" s="4" t="str">
        <v>global</v>
      </c>
      <c r="E2" s="5">
        <v>100</v>
      </c>
      <c r="F2" s="4">
        <v>1476</v>
      </c>
    </row>
    <row r="3" ht="45" customHeight="1">
      <c r="A3" s="8" t="str">
        <v>AOW02: Grand Challenges and Scaling Flagships</v>
      </c>
      <c r="B3" s="4" t="str">
        <v>CIP</v>
      </c>
      <c r="C3" s="4" t="str">
        <v>India</v>
      </c>
      <c r="D3" s="4" t="str">
        <v>country</v>
      </c>
      <c r="E3" s="5">
        <v>80</v>
      </c>
      <c r="F3" s="4">
        <v>554</v>
      </c>
    </row>
    <row r="4" ht="45" customHeight="1">
      <c r="A4" s="4" t="str">
        <v>AOW02: Grand Challenges and Scaling Flagships</v>
      </c>
      <c r="B4" s="4" t="str">
        <v>CIP</v>
      </c>
      <c r="C4" s="4" t="str">
        <v>The Socialist Republic of Viet Nam</v>
      </c>
      <c r="D4" s="4" t="str">
        <v>country</v>
      </c>
      <c r="E4" s="5">
        <v>20</v>
      </c>
      <c r="F4" s="4">
        <v>555</v>
      </c>
    </row>
    <row r="5" ht="45" customHeight="1">
      <c r="A5" s="8" t="str">
        <v>AOW03: Enabling Environment Lab</v>
      </c>
      <c r="B5" s="4" t="str">
        <v>CIP</v>
      </c>
      <c r="C5" s="4" t="str">
        <v>India</v>
      </c>
      <c r="D5" s="4" t="str">
        <v>country</v>
      </c>
      <c r="E5" s="5">
        <v>100</v>
      </c>
      <c r="F5" s="4">
        <v>422</v>
      </c>
    </row>
    <row r="6" ht="45" customHeight="1">
      <c r="A6" s="8" t="str">
        <v>AOW04: Achieving Impact by Unlocking Finance and Partnerships</v>
      </c>
      <c r="B6" s="4" t="str">
        <v>CIP</v>
      </c>
      <c r="C6" s="4" t="str">
        <v>India</v>
      </c>
      <c r="D6" s="4" t="str">
        <v>country</v>
      </c>
      <c r="E6" s="5">
        <v>20</v>
      </c>
      <c r="F6" s="4">
        <v>610</v>
      </c>
    </row>
    <row r="7" ht="45" customHeight="1">
      <c r="A7" s="4" t="str">
        <v>AOW04: Achieving Impact by Unlocking Finance and Partnerships</v>
      </c>
      <c r="B7" s="4" t="str">
        <v>CIP</v>
      </c>
      <c r="C7" s="4" t="str">
        <v>Kenya</v>
      </c>
      <c r="D7" s="4" t="str">
        <v>country</v>
      </c>
      <c r="E7" s="5">
        <v>20</v>
      </c>
      <c r="F7" s="4">
        <v>611</v>
      </c>
    </row>
    <row r="8" ht="45" customHeight="1">
      <c r="A8" s="4" t="str">
        <v>AOW04: Achieving Impact by Unlocking Finance and Partnerships</v>
      </c>
      <c r="B8" s="4" t="str">
        <v>CIP</v>
      </c>
      <c r="C8" s="4" t="str">
        <v>Peru</v>
      </c>
      <c r="D8" s="4" t="str">
        <v>country</v>
      </c>
      <c r="E8" s="5">
        <v>20</v>
      </c>
      <c r="F8" s="4">
        <v>609</v>
      </c>
    </row>
    <row r="9" ht="45" customHeight="1">
      <c r="A9" s="4" t="str">
        <v>AOW04: Achieving Impact by Unlocking Finance and Partnerships</v>
      </c>
      <c r="B9" s="4" t="str">
        <v>CIP</v>
      </c>
      <c r="C9" s="4" t="str">
        <v>Philippines</v>
      </c>
      <c r="D9" s="4" t="str">
        <v>country</v>
      </c>
      <c r="E9" s="5">
        <v>20</v>
      </c>
      <c r="F9" s="4">
        <v>613</v>
      </c>
    </row>
    <row r="10" ht="45" customHeight="1">
      <c r="A10" s="4" t="str">
        <v>AOW04: Achieving Impact by Unlocking Finance and Partnerships</v>
      </c>
      <c r="B10" s="4" t="str">
        <v>CIP</v>
      </c>
      <c r="C10" s="4" t="str">
        <v>Rwanda</v>
      </c>
      <c r="D10" s="4" t="str">
        <v>country</v>
      </c>
      <c r="E10" s="5">
        <v>20</v>
      </c>
      <c r="F10" s="4">
        <v>612</v>
      </c>
    </row>
    <row r="11" ht="45" customHeight="1">
      <c r="A11" s="8" t="str">
        <v>AOW05: Learning for Impact</v>
      </c>
      <c r="B11" s="4" t="str">
        <v>CIP</v>
      </c>
      <c r="C11" s="4" t="str">
        <v>Global</v>
      </c>
      <c r="D11" s="4" t="str">
        <v>global</v>
      </c>
      <c r="E11" s="5">
        <v>100</v>
      </c>
      <c r="F11" s="4">
        <v>556</v>
      </c>
    </row>
  </sheetData>
  <mergeCells count="5">
    <mergeCell ref="A2"/>
    <mergeCell ref="A3:A4"/>
    <mergeCell ref="A5"/>
    <mergeCell ref="A6:A10"/>
    <mergeCell ref="A11"/>
  </mergeCells>
  <ignoredErrors>
    <ignoredError numberStoredAsText="1" sqref="A1:F11"/>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