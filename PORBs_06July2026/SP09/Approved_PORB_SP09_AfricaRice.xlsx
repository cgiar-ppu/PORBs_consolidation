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6000</v>
      </c>
      <c r="K4" s="5">
        <v>6000</v>
      </c>
      <c r="L4" s="5">
        <v>0</v>
      </c>
      <c r="M4" s="5">
        <v>0</v>
      </c>
      <c r="N4" s="4">
        <v>206</v>
      </c>
    </row>
    <row r="5" ht="20" customHeight="1">
      <c r="A5" s="4" t="str">
        <v>AOW01: Engage and Empower</v>
      </c>
      <c r="B5" s="5">
        <v>0</v>
      </c>
      <c r="C5" s="5">
        <v>0</v>
      </c>
      <c r="D5" s="5">
        <v>1</v>
      </c>
      <c r="E5" s="5">
        <v>80000</v>
      </c>
      <c r="F5" s="5">
        <v>0</v>
      </c>
      <c r="G5" s="5">
        <v>0</v>
      </c>
      <c r="H5" s="5">
        <v>0</v>
      </c>
      <c r="I5" s="5">
        <v>0</v>
      </c>
      <c r="J5" s="5">
        <v>80000</v>
      </c>
      <c r="K5" s="5">
        <v>80000</v>
      </c>
      <c r="L5" s="5">
        <v>16000</v>
      </c>
      <c r="M5" s="5">
        <v>0</v>
      </c>
      <c r="N5" s="4">
        <v>205</v>
      </c>
    </row>
    <row r="6" ht="20" customHeight="1">
      <c r="A6" s="4" t="str">
        <v>AOW02: Grand Challenges and Scaling Flagships</v>
      </c>
      <c r="B6" s="5">
        <v>2</v>
      </c>
      <c r="C6" s="5">
        <v>88723</v>
      </c>
      <c r="D6" s="5">
        <v>1</v>
      </c>
      <c r="E6" s="5">
        <v>103933</v>
      </c>
      <c r="F6" s="5">
        <v>0</v>
      </c>
      <c r="G6" s="5">
        <v>0</v>
      </c>
      <c r="H6" s="5">
        <v>3</v>
      </c>
      <c r="I6" s="5">
        <v>88723</v>
      </c>
      <c r="J6" s="5">
        <v>281379</v>
      </c>
      <c r="K6" s="5">
        <v>281379</v>
      </c>
      <c r="L6" s="5">
        <v>54000</v>
      </c>
      <c r="M6" s="5">
        <v>0</v>
      </c>
      <c r="N6" s="4">
        <v>201</v>
      </c>
    </row>
    <row r="7" ht="20" customHeight="1">
      <c r="A7" s="4" t="str">
        <v>AOW03: Enabling Environment Lab</v>
      </c>
      <c r="B7" s="5">
        <v>0</v>
      </c>
      <c r="C7" s="5">
        <v>0</v>
      </c>
      <c r="D7" s="5">
        <v>0</v>
      </c>
      <c r="E7" s="5">
        <v>0</v>
      </c>
      <c r="F7" s="5">
        <v>0</v>
      </c>
      <c r="G7" s="5">
        <v>0</v>
      </c>
      <c r="H7" s="5">
        <v>0</v>
      </c>
      <c r="I7" s="5">
        <v>0</v>
      </c>
      <c r="J7" s="5">
        <v>0</v>
      </c>
      <c r="K7" s="5">
        <v>0</v>
      </c>
      <c r="L7" s="5">
        <v>0</v>
      </c>
      <c r="M7" s="5">
        <v>0</v>
      </c>
      <c r="N7" s="4">
        <v>203</v>
      </c>
    </row>
    <row r="8" ht="20" customHeight="1">
      <c r="A8" s="4" t="str">
        <v>AOW04: Achieving Impact by Unlocking Finance and Partnerships</v>
      </c>
      <c r="B8" s="5">
        <v>14</v>
      </c>
      <c r="C8" s="5">
        <v>354972</v>
      </c>
      <c r="D8" s="5">
        <v>2</v>
      </c>
      <c r="E8" s="5">
        <v>87957</v>
      </c>
      <c r="F8" s="5">
        <v>35</v>
      </c>
      <c r="G8" s="5">
        <v>133509</v>
      </c>
      <c r="H8" s="5">
        <v>8</v>
      </c>
      <c r="I8" s="5">
        <v>67255</v>
      </c>
      <c r="J8" s="5">
        <v>643693</v>
      </c>
      <c r="K8" s="5">
        <v>643693</v>
      </c>
      <c r="L8" s="5">
        <v>132000</v>
      </c>
      <c r="M8" s="5">
        <v>0</v>
      </c>
      <c r="N8" s="4">
        <v>202</v>
      </c>
    </row>
    <row r="9" ht="20" customHeight="1">
      <c r="A9" s="4" t="str">
        <v>AOW05: Learning for Impact</v>
      </c>
      <c r="B9" s="5">
        <v>1</v>
      </c>
      <c r="C9" s="5">
        <v>10000</v>
      </c>
      <c r="D9" s="5">
        <v>0</v>
      </c>
      <c r="E9" s="5">
        <v>0</v>
      </c>
      <c r="F9" s="5">
        <v>0</v>
      </c>
      <c r="G9" s="5">
        <v>0</v>
      </c>
      <c r="H9" s="5">
        <v>0</v>
      </c>
      <c r="I9" s="5">
        <v>0</v>
      </c>
      <c r="J9" s="5">
        <v>10000</v>
      </c>
      <c r="K9" s="5">
        <v>10000</v>
      </c>
      <c r="L9" s="5">
        <v>0</v>
      </c>
      <c r="M9" s="5">
        <v>10000</v>
      </c>
      <c r="N9" s="4">
        <v>204</v>
      </c>
    </row>
    <row r="10" ht="25" customHeight="1">
      <c r="A10" s="6" t="str">
        <v>Total</v>
      </c>
      <c r="B10" s="7" t="str">
        <v/>
      </c>
      <c r="C10" s="7">
        <v>453695</v>
      </c>
      <c r="D10" s="7" t="str">
        <v/>
      </c>
      <c r="E10" s="7">
        <v>271890</v>
      </c>
      <c r="F10" s="7" t="str">
        <v/>
      </c>
      <c r="G10" s="7">
        <v>133509</v>
      </c>
      <c r="H10" s="7" t="str">
        <v/>
      </c>
      <c r="I10" s="7">
        <v>155978</v>
      </c>
      <c r="J10" s="7">
        <v>1021072</v>
      </c>
      <c r="K10" s="7">
        <v>1021072</v>
      </c>
      <c r="L10" s="7">
        <v>202000</v>
      </c>
      <c r="M10" s="7">
        <v>10000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Engage and Empower</v>
      </c>
      <c r="B3" s="4" t="str">
        <v>AfricaRice</v>
      </c>
      <c r="C3" s="4" t="str">
        <v>HLO 1.1.2: Data and guidance for adaptive management</v>
      </c>
      <c r="D3"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knowledge products</v>
      </c>
      <c r="F3" s="4" t="str">
        <v>Côte d'Ivoire</v>
      </c>
      <c r="G3" s="5">
        <v>1</v>
      </c>
      <c r="H3" s="5">
        <v>80000</v>
      </c>
      <c r="I3"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J3" s="4">
        <v>5879</v>
      </c>
    </row>
    <row r="4" ht="25" customHeight="1">
      <c r="C4" s="9" t="str">
        <v>HLO budget subtotal</v>
      </c>
      <c r="H4" s="9">
        <v>80000</v>
      </c>
      <c r="J4" s="9" t="str">
        <v/>
      </c>
    </row>
    <row r="5" ht="50" customHeight="1">
      <c r="A5" s="8" t="str">
        <v>AOW02: Grand Challenges and Scaling Flagships</v>
      </c>
      <c r="B5" s="4" t="str">
        <v>AfricaRice</v>
      </c>
      <c r="C5" s="4" t="str">
        <v>HLO 2.2.2: Business models and market-led solutions</v>
      </c>
      <c r="D5" s="4" t="str">
        <v>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knowledge products</v>
      </c>
      <c r="F5" s="4" t="str">
        <v>Gambia, Côte d'Ivoire, Cameroon, Nigeria</v>
      </c>
      <c r="G5" s="5">
        <v>1</v>
      </c>
      <c r="H5" s="5">
        <v>103933</v>
      </c>
      <c r="I5" s="4" t="str">
        <v>1. 15,210 Top-off to Lead centre first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v>
      </c>
      <c r="J5" s="4">
        <v>5933</v>
      </c>
    </row>
    <row r="6" ht="50" customHeight="1">
      <c r="B6" s="4" t="str">
        <v>AfricaRice</v>
      </c>
      <c r="D6" s="4" t="str">
        <v>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Number of innovations (innovation development)</v>
      </c>
      <c r="F6" s="4" t="str">
        <v>Nigeria, Gambia, Côte d'Ivoire, Cameroon</v>
      </c>
      <c r="G6" s="5">
        <v>2</v>
      </c>
      <c r="H6" s="5">
        <v>88723</v>
      </c>
      <c r="I6" s="4" t="str">
        <v>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v>
      </c>
      <c r="J6" s="4">
        <v>5935</v>
      </c>
    </row>
    <row r="7" ht="50" customHeight="1">
      <c r="B7" s="4" t="str">
        <v>AfricaRice</v>
      </c>
      <c r="D7" s="4" t="str">
        <v>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custom</v>
      </c>
      <c r="F7" s="4" t="str">
        <v>Nigeria, Cameroon, Côte d'Ivoire, Gambia</v>
      </c>
      <c r="G7" s="5">
        <v>3</v>
      </c>
      <c r="H7" s="5">
        <v>88723</v>
      </c>
      <c r="I7" s="4" t="str">
        <v>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v>
      </c>
      <c r="J7" s="4">
        <v>5937</v>
      </c>
    </row>
    <row r="8" ht="25" customHeight="1">
      <c r="C8" s="9" t="str">
        <v>HLO budget subtotal</v>
      </c>
      <c r="H8" s="9">
        <v>281379</v>
      </c>
      <c r="J8" s="9" t="str">
        <v/>
      </c>
    </row>
    <row r="9" ht="50" customHeight="1">
      <c r="A9" s="8" t="str">
        <v>AOW04: Achieving Impact by Unlocking Finance and Partnerships</v>
      </c>
      <c r="B9" s="4" t="str">
        <v>AfricaRice</v>
      </c>
      <c r="C9" s="4" t="str">
        <v>HLO 4.4.1: Technical assistance for financing for innovation scaling</v>
      </c>
      <c r="D9" s="4" t="str">
        <v>CRITICAL CAPABILITY: A4AfricaRice-CC-2.1.  PoD name: AoW 4 Critical Capability – Smart Valleys Investment Alignment (Côte d’Ivoire) Lead Center: AfricaRice, PoD KPI: 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Knowledge Product. Unit: Number of reports.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v>
      </c>
      <c r="E9" s="4" t="str">
        <v>Number of knowledge products</v>
      </c>
      <c r="F9" s="4" t="str">
        <v>Côte d'Ivoire</v>
      </c>
      <c r="G9" s="5">
        <v>2</v>
      </c>
      <c r="H9" s="5">
        <v>87957</v>
      </c>
      <c r="I9" s="4" t="str">
        <v>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v>
      </c>
      <c r="J9" s="4">
        <v>6026</v>
      </c>
    </row>
    <row r="10" ht="50" customHeight="1">
      <c r="B10" s="4" t="str">
        <v>AfricaRice</v>
      </c>
      <c r="D10" s="4" t="str">
        <v>CRITICAL CAPABILITY: A4AfricaRice-CC-1.1. PoD name: AoW 4 Critical Capability – Smart Valleys Investment Alignment (Nigeria) Lead Center: AfricaRice, PoD KPI: One-1 Innovation developed (Smart Valleys approach (as a shared scaling mechanism for inland valley development)) that contributes to acheive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Indicator type: Innovation Development. Unit: Number of innovations.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v>
      </c>
      <c r="E10" s="4" t="str">
        <v>Number of innovations (innovation development)</v>
      </c>
      <c r="F10" s="4" t="str">
        <v>Nigeria</v>
      </c>
      <c r="G10" s="5">
        <v>1</v>
      </c>
      <c r="H10" s="5">
        <v>50479</v>
      </c>
      <c r="I10" s="4" t="str">
        <v>One-1 Innovation developed (Smart Valleys approach (as a shared scaling mechanism for inland valley development)) that contributes to acheive USD 20 million leveraged in state public investment for Niger State through the Smart Valleys Investment Alignment – Nigeria package by end-2026</v>
      </c>
      <c r="J10" s="4">
        <v>6027</v>
      </c>
    </row>
    <row r="11" ht="50" customHeight="1">
      <c r="B11" s="4" t="str">
        <v>AfricaRice</v>
      </c>
      <c r="D11" s="4" t="str">
        <v>A4P6.1: PoD name (Lead Center: AfricaRice): Investment Integration Hub. PoD KPI: 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Innovation Development. Unit: Number of innovations.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v>
      </c>
      <c r="E11" s="4" t="str">
        <v>custom</v>
      </c>
      <c r="F11" s="4" t="str">
        <v>Côte d'Ivoire, Nigeria</v>
      </c>
      <c r="G11" s="5">
        <v>8</v>
      </c>
      <c r="H11" s="5">
        <v>67255</v>
      </c>
      <c r="I11" s="4" t="str">
        <v>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v>
      </c>
      <c r="J11" s="4">
        <v>6028</v>
      </c>
    </row>
    <row r="12" ht="50" customHeight="1" xml:space="preserve">
      <c r="B12" s="4" t="str">
        <v>AfricaRice</v>
      </c>
      <c r="D12" s="4" t="str" xml:space="preserve">
        <v xml:space="preserve">A4P10.1: PoD name (Lead Center: AfricaRice): Scaling Clearinghouse. PoD KPI: Ten-10 innovations developed (Number of CGIAR innovations embedded into investment projects) that contributes to acheive  USD 5,000,000 in cumulative IFI and government-financed rice investments influenced through the AfricaRice-hosted Scaling Clearinghouse by end-2026, embedding CGIAR rice innovations in AfDB, IsDB, World Bank, and national programs under AoW 4. Indicator type: Innovation Development. Unit: Number of innovations.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
</v>
      </c>
      <c r="E12" s="4" t="str">
        <v>Number of innovations (innovation development)</v>
      </c>
      <c r="F12" s="4" t="str">
        <v>Côte d'Ivoire, Nigeria</v>
      </c>
      <c r="G12" s="5">
        <v>10</v>
      </c>
      <c r="H12" s="5">
        <v>150281</v>
      </c>
      <c r="I12" s="4" t="str">
        <v>Ten-10 innovations developed (Number of CGIAR innovations embedded into investment projects) that contributes to acheive USD 5,000,000 in cumulative IFI and government-financed rice investments influenced through the AfricaRice-hosted Scaling Clearinghouse by end-2026</v>
      </c>
      <c r="J12" s="4">
        <v>6030</v>
      </c>
    </row>
    <row r="13" ht="50" customHeight="1">
      <c r="B13" s="4" t="str">
        <v>AfricaRice</v>
      </c>
      <c r="D13" s="4" t="str">
        <v>CRITICAL CAPABILITY: A4AfricaRice-CC-2.2. PoD name: AoW 4 Critical Capability – Smart Valleys Investment Alignment (Côte d’Ivoire) Lead Center: AfricaRice, PoD KPI: 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Innovation Development. Unit: Number of innovations.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v>
      </c>
      <c r="E13" s="4" t="str">
        <v>Number of innovations (innovation development)</v>
      </c>
      <c r="F13" s="4" t="str">
        <v>Côte d'Ivoire</v>
      </c>
      <c r="G13" s="5">
        <v>1</v>
      </c>
      <c r="H13" s="5">
        <v>87958</v>
      </c>
      <c r="I13" s="4" t="str">
        <v>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v>
      </c>
      <c r="J13" s="4">
        <v>8038</v>
      </c>
    </row>
    <row r="14" ht="50" customHeight="1">
      <c r="B14" s="4" t="str">
        <v>AfricaRice</v>
      </c>
      <c r="D14" s="4" t="str">
        <v>A4P6.2: PoD name (Lead Center: AfricaRice): Investment Integration Hub. PoD KPI: 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Capacity Sharing. Unit: Number of porjects.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v>
      </c>
      <c r="E14" s="4" t="str">
        <v>Number of people trained (capacity sharing for development)</v>
      </c>
      <c r="F14" s="4" t="str">
        <v>Côte d'Ivoire, Nigeria</v>
      </c>
      <c r="G14" s="5">
        <v>5</v>
      </c>
      <c r="H14" s="5">
        <v>67254</v>
      </c>
      <c r="I14" s="4" t="str">
        <v>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v>
      </c>
      <c r="J14" s="4">
        <v>8088</v>
      </c>
    </row>
    <row r="15" ht="50" customHeight="1">
      <c r="A15" s="4" t="str">
        <v>AOW04: Achieving Impact by Unlocking Finance and Partnerships</v>
      </c>
      <c r="B15" s="4" t="str">
        <v>AfricaRice</v>
      </c>
      <c r="C15" s="4" t="str">
        <v>HLO 4.4.2: Partnerships and institutional arrangements for unlocking blended financing</v>
      </c>
      <c r="D15" s="4" t="str">
        <v>A4P1.1: PoD name: Impact Finance Facility. Lead Center: AfricaRice. PoD KPI: Two innovations developed (Two regional blended-finance vehicles co-created as financial innovations) that contribute to achieving USD 30,000,000 in cumulative private and blended finance mobilized by end-2026 through AfricaRice-led Impact Finance Facility partnerships in West Africa, directly contributing to AoW 4's 2030 Outcome 4.1 on embedding CGIAR solutions in investment portfolios. Indicator type: Innovation Development. Unit: Number of innovations.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v>
      </c>
      <c r="E15" s="4" t="str">
        <v>Number of innovations (innovation development)</v>
      </c>
      <c r="F15" s="4" t="str">
        <v>Côte d'Ivoire, Nigeria</v>
      </c>
      <c r="G15" s="5">
        <v>2</v>
      </c>
      <c r="H15" s="5">
        <v>66254</v>
      </c>
      <c r="I15" s="4" t="str">
        <v>Two innovations developed (Two regional blended-finance vehicles co-created as financial innovations) that contribute to achieving USD 30,000,000 in cumulative private and blended finance mobilized by end-2026</v>
      </c>
      <c r="J15" s="4">
        <v>6029</v>
      </c>
    </row>
    <row r="16" ht="50" customHeight="1" xml:space="preserve">
      <c r="B16" s="4" t="str">
        <v>AfricaRice</v>
      </c>
      <c r="D16" s="4" t="str" xml:space="preserve">
        <v xml:space="preserve">A4P1.2: PoD name: Impact Finance Facility. Lead Center: AfricaRice. PoD KPI: Thirty -30  agrifood SMEs ( Strengthening investment readiness ) that controbute to acheive USD 30,000,000 in cumulative private and blended finance mobilized by end-2026 through AfricaRice-led Impact Finance Facility partnerships in West Africa, directly contributing to AoW 4's 2030 Outcome 4.1 on embedding CGIAR solutions in investment portfolios. Indicator type: Capacity Sharing. Unit: Number of companies.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
</v>
      </c>
      <c r="E16" s="4" t="str">
        <v>Number of people trained (capacity sharing for development)</v>
      </c>
      <c r="F16" s="4" t="str">
        <v>Nigeria, Côte d'Ivoire</v>
      </c>
      <c r="G16" s="5">
        <v>30</v>
      </c>
      <c r="H16" s="5">
        <v>66255</v>
      </c>
      <c r="I16" s="4" t="str">
        <v>Thirty -30 agrifood SMEs ( Strengthening investment readiness ) that controbute to acheive USD 30,000,000 in cumulative private and blended finance mobilized by end-2026</v>
      </c>
      <c r="J16" s="4">
        <v>7950</v>
      </c>
    </row>
    <row r="17" ht="25" customHeight="1">
      <c r="C17" s="9" t="str">
        <v>HLO budget subtotal</v>
      </c>
      <c r="H17" s="9">
        <v>643693</v>
      </c>
      <c r="J17" s="9" t="str">
        <v/>
      </c>
    </row>
    <row r="18" ht="50" customHeight="1" xml:space="preserve">
      <c r="A18" s="8" t="str">
        <v>AOW05: Learning for Impact</v>
      </c>
      <c r="B18" s="4" t="str">
        <v>AfricaRice</v>
      </c>
      <c r="C18" s="4" t="str">
        <v>HLO 5.5.2: Evidence-based evaluation and dynamic learning insights</v>
      </c>
      <c r="D18" s="4" t="str" xml:space="preserve">
        <v xml:space="preserve">A5P12.8 PoD Name: Dynamic Learning and Adaptive Management Strategy — Africa Rice S4I Scaling Pathway Engagement: KPI Title: Dynamic Learning IPSR Workshop Documentation and MEL Strategy for Public-Private Partnership (PPP) for Rice Solution Track
PoD KPI: 1 — One completed Innovation Package Scaling Readiness (IPSR) assessment uploaded to PRMS for Africa Rice’s AoW2 Flagship Solution Track (leveraging public-private rice partnership models to enhance food and nutrition security in Côte d’Ivoire and Nigeria),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Africa Rice’s solution track in AoW2 — specifically leveraging public-private rice partnership models to enhance food and nutrition security in Côte d’Ivoire and Nigeria.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AfricaRice. PoD Owner: Iddo Dror. KPI Owner: s.ndindeng@cgiar.org. Anticipated partners: Not applicable. Partner modality: Not applicable. Countries of implementation: Nigeria, Côte d’Ivoire. Location of benefit: Nigeria, Côte d’Ivoire (West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v>
      </c>
      <c r="E18" s="4" t="str">
        <v>Number of innovations (innovation development)</v>
      </c>
      <c r="F18" s="4" t="str">
        <v>Côte d'Ivoire, Nigeria</v>
      </c>
      <c r="G18" s="5">
        <v>1</v>
      </c>
      <c r="H18" s="5">
        <v>10000</v>
      </c>
      <c r="I18" s="4" t="str">
        <v xml:space="preserve"> 1 — One completed Innovation Package Scaling Readiness (IPSR) assessment uploaded to PRMS for Africa Rice’s AoW2 Flagship Solution Track (leveraging public-private rice partnership models to enhance food and nutrition security in Côte d’Ivoire and Nigeria), delivered by end of 2026.</v>
      </c>
      <c r="J18" s="4">
        <v>8109</v>
      </c>
    </row>
    <row r="19" ht="25" customHeight="1">
      <c r="C19" s="9" t="str">
        <v>HLO budget subtotal</v>
      </c>
      <c r="H19" s="9">
        <v>10000</v>
      </c>
      <c r="J19" s="9" t="str">
        <v/>
      </c>
    </row>
  </sheetData>
  <mergeCells count="17">
    <mergeCell ref="A1:A2"/>
    <mergeCell ref="B1:B2"/>
    <mergeCell ref="C1:C2"/>
    <mergeCell ref="D1:H1"/>
    <mergeCell ref="I1:I2"/>
    <mergeCell ref="J1:J2"/>
    <mergeCell ref="C4:G4"/>
    <mergeCell ref="A3:A4"/>
    <mergeCell ref="C5:C7"/>
    <mergeCell ref="C8:G8"/>
    <mergeCell ref="A5:A8"/>
    <mergeCell ref="C9:C14"/>
    <mergeCell ref="C15:C16"/>
    <mergeCell ref="C17:G17"/>
    <mergeCell ref="A9:A17"/>
    <mergeCell ref="C19:G19"/>
    <mergeCell ref="A18:A19"/>
  </mergeCells>
  <ignoredErrors>
    <ignoredError numberStoredAsText="1" sqref="A1:J19"/>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Engage and Empower</v>
      </c>
      <c r="B2" s="4" t="str">
        <v>Unknown Center</v>
      </c>
      <c r="C2" s="4" t="str">
        <v>AfricaRice</v>
      </c>
      <c r="D2" s="4" t="str">
        <v>Côte d'Ivoire</v>
      </c>
      <c r="E2" s="5">
        <v>16000</v>
      </c>
      <c r="F2" s="4" t="str">
        <v>Unknown Centre</v>
      </c>
      <c r="G2" s="4">
        <v>357</v>
      </c>
    </row>
    <row r="3" ht="25" customHeight="1">
      <c r="B3" s="9" t="str">
        <v>Contracted partners subtotal</v>
      </c>
      <c r="E3" s="9">
        <v>16000</v>
      </c>
      <c r="F3" s="9" t="str">
        <v/>
      </c>
      <c r="G3" s="9" t="str">
        <v/>
      </c>
    </row>
    <row r="4" ht="50" customHeight="1">
      <c r="A4" s="8" t="str">
        <v>AOW02: Grand Challenges and Scaling Flagships</v>
      </c>
      <c r="B4" s="4" t="str">
        <v>Ministry of Agriculture and Rural development</v>
      </c>
      <c r="C4" s="4" t="str">
        <v>AfricaRice</v>
      </c>
      <c r="D4" s="4" t="str">
        <v>Côte d'Ivoire, Nigeria</v>
      </c>
      <c r="E4" s="5">
        <v>54000</v>
      </c>
      <c r="F4" s="4" t="str">
        <v xml:space="preserve">Leveraging Public–Private Rice Partnership Models to Enhance Food and Nutrition Security in Côte d’Ivoire and Nigeria. </v>
      </c>
      <c r="G4" s="4">
        <v>176</v>
      </c>
    </row>
    <row r="5" ht="25" customHeight="1">
      <c r="B5" s="9" t="str">
        <v>Contracted partners subtotal</v>
      </c>
      <c r="E5" s="9">
        <v>54000</v>
      </c>
      <c r="F5" s="9" t="str">
        <v/>
      </c>
      <c r="G5" s="9" t="str">
        <v/>
      </c>
    </row>
    <row r="6" ht="50" customHeight="1" xml:space="preserve">
      <c r="A6" s="8" t="str">
        <v>AOW04: Achieving Impact by Unlocking Finance and Partnerships</v>
      </c>
      <c r="B6" s="4" t="str">
        <v>Institut National de la Recherche Agronomique du Niger</v>
      </c>
      <c r="C6" s="4" t="str">
        <v>AfricaRice</v>
      </c>
      <c r="D6" s="4" t="str">
        <v>Nigeria</v>
      </c>
      <c r="E6" s="5">
        <v>132000</v>
      </c>
      <c r="F6" s="4" t="str" xml:space="preserve">
        <v xml:space="preserve">Institut National de la Recherche Agronomique (CNRA),  National Cereals Research Institute,Institute of Agricultural Research for Development, Institut National pour l'Etude Agronomique, National Agricultural Research Institute, Ministries of Agriculture, Private enterprises
</v>
      </c>
      <c r="G6" s="4">
        <v>358</v>
      </c>
    </row>
    <row r="7" ht="25" customHeight="1">
      <c r="B7" s="9" t="str">
        <v>Contracted partners subtotal</v>
      </c>
      <c r="E7" s="9">
        <v>132000</v>
      </c>
      <c r="F7" s="9" t="str">
        <v/>
      </c>
      <c r="G7" s="9" t="str">
        <v/>
      </c>
    </row>
  </sheetData>
  <mergeCells count="6">
    <mergeCell ref="B3:D3"/>
    <mergeCell ref="A2:A3"/>
    <mergeCell ref="B5:D5"/>
    <mergeCell ref="A4: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A-AG10185-A-AG10185-Building resilient seed systems for rice</v>
      </c>
      <c r="C2" s="4" t="str">
        <v>HLO 2.2.2: Business models and market-led solutions</v>
      </c>
      <c r="D2" s="5">
        <v>1799948</v>
      </c>
      <c r="E2" s="4" t="str">
        <v>80.0% allocation for S4I as stated in W3 and Bilateral mapping dashboard</v>
      </c>
      <c r="F2" s="4">
        <v>1151</v>
      </c>
    </row>
    <row r="3" ht="60" customHeight="1">
      <c r="A3" s="4" t="str">
        <v>AfricaRice</v>
      </c>
      <c r="B3" s="4" t="str">
        <v>A-HP2023-002-MasterCard - WAEMU</v>
      </c>
      <c r="C3" s="4" t="str">
        <v>HLO 4.4.1: Technical assistance for financing for innovation scaling</v>
      </c>
      <c r="D3" s="5">
        <v>1290920</v>
      </c>
      <c r="E3" s="4" t="str">
        <v>40.0% allocation for S4I as stated in W3 and Bilateral mapping dashboard</v>
      </c>
      <c r="F3" s="4">
        <v>1172</v>
      </c>
    </row>
    <row r="4" ht="60" customHeight="1">
      <c r="A4" s="4" t="str">
        <v>AfricaRice</v>
      </c>
      <c r="B4" s="4" t="str">
        <v>A-HP2023-003-World Bank-Food Systems Resilience</v>
      </c>
      <c r="C4" s="4" t="str">
        <v>HLO 4.4.1: Technical assistance for financing for innovation scaling</v>
      </c>
      <c r="D4" s="5">
        <v>561468</v>
      </c>
      <c r="E4" s="4" t="str">
        <v>20.0%  allocation for S4I as stated in W3 and the bilateral mapping dashboard</v>
      </c>
      <c r="F4" s="4">
        <v>1171</v>
      </c>
    </row>
    <row r="5" ht="25" customHeight="1">
      <c r="B5" s="9" t="str">
        <v>W3/Bilateral budget subtotal</v>
      </c>
      <c r="D5" s="9">
        <v>3652336</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AfricaRice</v>
      </c>
      <c r="C2" s="4" t="str">
        <v>A5P12.8 PoD Name: Dynamic Learning and Adaptive Management Strategy — Africa Rice S4I Scaling Pathway Engagement</v>
      </c>
      <c r="D2" s="4" t="str">
        <v>I-OC 4.3. Partners embed responsible scaling approaches for innovation scaling I-OC 4.2: Private sector financing and investment for innovation scaling I-OC 4.1: IFI and government financing and investment for innovation scaling</v>
      </c>
      <c r="E2" s="4" t="str">
        <v>N/A</v>
      </c>
      <c r="F2" s="5">
        <v>0</v>
      </c>
      <c r="G2" s="4" t="str">
        <v/>
      </c>
      <c r="H2" s="4">
        <v>523</v>
      </c>
    </row>
    <row r="3" ht="25" customHeight="1">
      <c r="C3" s="9" t="str">
        <v>MELIA budget subtotal</v>
      </c>
      <c r="F3" s="9">
        <v>0</v>
      </c>
      <c r="G3" s="9" t="str">
        <v/>
      </c>
      <c r="H3" s="9" t="str">
        <v/>
      </c>
    </row>
    <row r="4" ht="60" customHeight="1">
      <c r="A4" s="8" t="str">
        <v>AOW04: Achieving Impact by Unlocking Finance and Partnerships</v>
      </c>
      <c r="B4" s="4" t="str">
        <v>AfricaRice</v>
      </c>
      <c r="C4" s="4" t="str">
        <v>A5P12.8 PoD Name: Dynamic Learning and Adaptive Management Strategy — Africa Rice S4I Scaling Pathway Engagement</v>
      </c>
      <c r="D4" s="4" t="str">
        <v>I-OC 4.3. Partners embed responsible scaling approaches for innovation scaling I-OC 4.2: Private sector financing and investment for innovation scaling I-OC 4.1: IFI and government financing and investment for innovation scaling</v>
      </c>
      <c r="E4" s="4" t="str">
        <v>N/A</v>
      </c>
      <c r="F4" s="5">
        <v>0</v>
      </c>
      <c r="G4" s="4" t="str">
        <v/>
      </c>
      <c r="H4" s="4">
        <v>522</v>
      </c>
    </row>
    <row r="5" ht="25" customHeight="1">
      <c r="C5" s="9" t="str">
        <v>MELIA budget subtotal</v>
      </c>
      <c r="F5" s="9">
        <v>0</v>
      </c>
      <c r="G5" s="9" t="str">
        <v/>
      </c>
      <c r="H5" s="9" t="str">
        <v/>
      </c>
    </row>
    <row r="6" ht="60" customHeight="1">
      <c r="A6" s="8" t="str">
        <v>AOW05: Learning for Impact</v>
      </c>
      <c r="B6" s="4" t="str">
        <v>AfricaRice</v>
      </c>
      <c r="C6" s="4" t="str">
        <v>A5P12.8 PoD Name: Dynamic Learning and Adaptive Management Strategy — Africa Rice S4I Scaling Pathway Engagement</v>
      </c>
      <c r="D6" s="4" t="str">
        <v>I-OC 4.3. Partners embed responsible scaling approaches for innovation scaling I-OC 4.2: Private sector financing and investment for innovation scaling I-OC 4.1: IFI and government financing and investment for innovation scaling</v>
      </c>
      <c r="E6" s="4" t="str">
        <v>N/A</v>
      </c>
      <c r="F6" s="5">
        <v>10000</v>
      </c>
      <c r="G6" s="4" t="str">
        <v>A5P12.8 PoD Name: Dynamic Learning and Adaptive Management Strategy — Africa Rice S4I Scaling Pathway Engagement</v>
      </c>
      <c r="H6" s="4">
        <v>499</v>
      </c>
    </row>
    <row r="7" ht="25" customHeight="1">
      <c r="C7" s="9" t="str">
        <v>MELIA budget subtotal</v>
      </c>
      <c r="F7" s="9">
        <v>10000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Area of Work Leads</v>
      </c>
      <c r="D2" s="5">
        <v>6000</v>
      </c>
      <c r="E2" s="4" t="str">
        <v>Q1 2026 FTE costs for Transitional Area of Work (AoW) Leaders at $6000 per leader</v>
      </c>
      <c r="F2" s="4">
        <v>149</v>
      </c>
      <c r="G2" s="4">
        <v>3</v>
      </c>
    </row>
    <row r="3" ht="25" customHeight="1">
      <c r="C3" s="9" t="str">
        <v>Cross-cutting budget subtotal</v>
      </c>
      <c r="D3" s="9">
        <v>6000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6000</v>
      </c>
      <c r="C2" s="5">
        <v>44800</v>
      </c>
      <c r="D2" s="5">
        <v>148518</v>
      </c>
      <c r="E2" s="5">
        <v>0</v>
      </c>
      <c r="F2" s="5">
        <v>312133</v>
      </c>
      <c r="G2" s="5">
        <v>0</v>
      </c>
      <c r="H2" s="5">
        <f>=SUM(B2:G2)</f>
        <v>0</v>
      </c>
    </row>
    <row r="3" ht="20" customHeight="1">
      <c r="A3" s="4" t="str">
        <v>Operations (supplies, consultants, travels, workshops, other)</v>
      </c>
      <c r="B3" s="5">
        <v>0</v>
      </c>
      <c r="C3" s="5">
        <v>19200</v>
      </c>
      <c r="D3" s="5">
        <v>78861</v>
      </c>
      <c r="E3" s="5">
        <v>0</v>
      </c>
      <c r="F3" s="5">
        <v>199560</v>
      </c>
      <c r="G3" s="5">
        <v>10000</v>
      </c>
      <c r="H3" s="5">
        <f>=SUM(B3:G3)</f>
        <v>0</v>
      </c>
    </row>
    <row r="4" ht="20" customHeight="1">
      <c r="A4" s="4" t="str">
        <v>Collaborators non-CGIAR centers</v>
      </c>
      <c r="B4" s="5">
        <v>0</v>
      </c>
      <c r="C4" s="5">
        <v>16000</v>
      </c>
      <c r="D4" s="5">
        <v>54000</v>
      </c>
      <c r="E4" s="5">
        <v>0</v>
      </c>
      <c r="F4" s="5">
        <v>132000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Côte d'Ivoire</v>
      </c>
      <c r="D2" s="5">
        <v>100</v>
      </c>
      <c r="E2" s="4">
        <v>3037</v>
      </c>
    </row>
    <row r="3" ht="45" customHeight="1">
      <c r="A3" s="8" t="str">
        <v>AOW01: Engage and Empower</v>
      </c>
      <c r="B3" s="4" t="str">
        <v>AfricaRice</v>
      </c>
      <c r="C3" s="4" t="str">
        <v>Côte d'Ivoire</v>
      </c>
      <c r="D3" s="5">
        <v>100</v>
      </c>
      <c r="E3" s="4">
        <v>80</v>
      </c>
    </row>
    <row r="4" ht="45" customHeight="1">
      <c r="A4" s="8" t="str">
        <v>AOW02: Grand Challenges and Scaling Flagships</v>
      </c>
      <c r="B4" s="4" t="str">
        <v>AfricaRice</v>
      </c>
      <c r="C4" s="4" t="str">
        <v>Côte d'Ivoire</v>
      </c>
      <c r="D4" s="5">
        <v>50</v>
      </c>
      <c r="E4" s="4">
        <v>1555</v>
      </c>
    </row>
    <row r="5" ht="45" customHeight="1">
      <c r="A5" s="4" t="str">
        <v>AOW02: Grand Challenges and Scaling Flagships</v>
      </c>
      <c r="B5" s="4" t="str">
        <v>AfricaRice</v>
      </c>
      <c r="C5" s="4" t="str">
        <v>Nigeria</v>
      </c>
      <c r="D5" s="5">
        <v>50</v>
      </c>
      <c r="E5" s="4">
        <v>1556</v>
      </c>
    </row>
    <row r="6" ht="45" customHeight="1">
      <c r="A6" s="8" t="str">
        <v>AOW04: Achieving Impact by Unlocking Finance and Partnerships</v>
      </c>
      <c r="B6" s="4" t="str">
        <v>AfricaRice</v>
      </c>
      <c r="C6" s="4" t="str">
        <v>Côte d'Ivoire</v>
      </c>
      <c r="D6" s="5">
        <v>50</v>
      </c>
      <c r="E6" s="4">
        <v>1746</v>
      </c>
    </row>
    <row r="7" ht="45" customHeight="1">
      <c r="A7" s="4" t="str">
        <v>AOW04: Achieving Impact by Unlocking Finance and Partnerships</v>
      </c>
      <c r="B7" s="4" t="str">
        <v>AfricaRice</v>
      </c>
      <c r="C7" s="4" t="str">
        <v>Nigeria</v>
      </c>
      <c r="D7" s="5">
        <v>50</v>
      </c>
      <c r="E7" s="4">
        <v>1747</v>
      </c>
    </row>
    <row r="8" ht="45" customHeight="1">
      <c r="A8" s="8" t="str">
        <v>AOW05: Learning for Impact</v>
      </c>
      <c r="B8" s="4" t="str">
        <v>AfricaRice</v>
      </c>
      <c r="C8" s="4" t="str">
        <v>Côte d'Ivoire</v>
      </c>
      <c r="D8" s="5">
        <v>100</v>
      </c>
      <c r="E8" s="4">
        <v>3038</v>
      </c>
    </row>
  </sheetData>
  <mergeCells count="5">
    <mergeCell ref="A2"/>
    <mergeCell ref="A3"/>
    <mergeCell ref="A4:A5"/>
    <mergeCell ref="A6:A7"/>
    <mergeCell ref="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1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1176</v>
      </c>
    </row>
    <row r="3" ht="45" customHeight="1">
      <c r="A3" s="8" t="str">
        <v>AOW01: Engage and Empower</v>
      </c>
      <c r="B3" s="4" t="str">
        <v>AfricaRice</v>
      </c>
      <c r="C3" s="4" t="str">
        <v>Global</v>
      </c>
      <c r="D3" s="4" t="str">
        <v>global</v>
      </c>
      <c r="E3" s="5">
        <v>0</v>
      </c>
      <c r="F3" s="4">
        <v>94</v>
      </c>
    </row>
    <row r="4" ht="45" customHeight="1">
      <c r="A4" s="4" t="str">
        <v>AOW01: Engage and Empower</v>
      </c>
      <c r="B4" s="4" t="str">
        <v>AfricaRice</v>
      </c>
      <c r="C4" s="4" t="str">
        <v>Côte d'Ivoire</v>
      </c>
      <c r="D4" s="4" t="str">
        <v>country</v>
      </c>
      <c r="E4" s="5">
        <v>100</v>
      </c>
      <c r="F4" s="4">
        <v>532</v>
      </c>
    </row>
    <row r="5" ht="45" customHeight="1">
      <c r="A5" s="8" t="str">
        <v>AOW02: Grand Challenges and Scaling Flagships</v>
      </c>
      <c r="B5" s="4" t="str">
        <v>AfricaRice</v>
      </c>
      <c r="C5" s="4" t="str">
        <v>Côte d'Ivoire</v>
      </c>
      <c r="D5" s="4" t="str">
        <v>country</v>
      </c>
      <c r="E5" s="5">
        <v>50</v>
      </c>
      <c r="F5" s="4">
        <v>534</v>
      </c>
    </row>
    <row r="6" ht="45" customHeight="1">
      <c r="A6" s="4" t="str">
        <v>AOW02: Grand Challenges and Scaling Flagships</v>
      </c>
      <c r="B6" s="4" t="str">
        <v>AfricaRice</v>
      </c>
      <c r="C6" s="4" t="str">
        <v>Nigeria</v>
      </c>
      <c r="D6" s="4" t="str">
        <v>country</v>
      </c>
      <c r="E6" s="5">
        <v>50</v>
      </c>
      <c r="F6" s="4">
        <v>533</v>
      </c>
    </row>
    <row r="7" ht="45" customHeight="1">
      <c r="A7" s="8" t="str">
        <v>AOW04: Achieving Impact by Unlocking Finance and Partnerships</v>
      </c>
      <c r="B7" s="4" t="str">
        <v>AfricaRice</v>
      </c>
      <c r="C7" s="4" t="str">
        <v>Côte d'Ivoire</v>
      </c>
      <c r="D7" s="4" t="str">
        <v>country</v>
      </c>
      <c r="E7" s="5">
        <v>50</v>
      </c>
      <c r="F7" s="4">
        <v>598</v>
      </c>
    </row>
    <row r="8" ht="45" customHeight="1">
      <c r="A8" s="4" t="str">
        <v>AOW04: Achieving Impact by Unlocking Finance and Partnerships</v>
      </c>
      <c r="B8" s="4" t="str">
        <v>AfricaRice</v>
      </c>
      <c r="C8" s="4" t="str">
        <v>Nigeria</v>
      </c>
      <c r="D8" s="4" t="str">
        <v>country</v>
      </c>
      <c r="E8" s="5">
        <v>50</v>
      </c>
      <c r="F8" s="4">
        <v>599</v>
      </c>
    </row>
    <row r="9" ht="45" customHeight="1">
      <c r="A9" s="8" t="str">
        <v>AOW05: Learning for Impact</v>
      </c>
      <c r="B9" s="4" t="str">
        <v>AfricaRice</v>
      </c>
      <c r="C9" s="4" t="str">
        <v>Global</v>
      </c>
      <c r="D9" s="4" t="str">
        <v>global</v>
      </c>
      <c r="E9" s="5">
        <v>0</v>
      </c>
      <c r="F9" s="4">
        <v>1177</v>
      </c>
    </row>
    <row r="10" ht="45" customHeight="1">
      <c r="A10" s="4" t="str">
        <v>AOW05: Learning for Impact</v>
      </c>
      <c r="B10" s="4" t="str">
        <v>AfricaRice</v>
      </c>
      <c r="C10" s="4" t="str">
        <v>Côte d'Ivoire</v>
      </c>
      <c r="D10" s="4" t="str">
        <v>country</v>
      </c>
      <c r="E10" s="5">
        <v>100</v>
      </c>
      <c r="F10" s="4">
        <v>1178</v>
      </c>
    </row>
  </sheetData>
  <mergeCells count="5">
    <mergeCell ref="A2"/>
    <mergeCell ref="A3:A4"/>
    <mergeCell ref="A5:A6"/>
    <mergeCell ref="A7:A8"/>
    <mergeCell ref="A9:A10"/>
  </mergeCells>
  <ignoredErrors>
    <ignoredError numberStoredAsText="1" sqref="A1:F10"/>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