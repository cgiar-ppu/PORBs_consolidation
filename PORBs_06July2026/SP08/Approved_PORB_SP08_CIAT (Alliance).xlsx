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2</v>
      </c>
      <c r="E5" s="5">
        <v>95000</v>
      </c>
      <c r="F5" s="5">
        <v>50</v>
      </c>
      <c r="G5" s="5">
        <v>20000</v>
      </c>
      <c r="H5" s="5">
        <v>0</v>
      </c>
      <c r="I5" s="5">
        <v>0</v>
      </c>
      <c r="J5" s="5">
        <v>115000</v>
      </c>
      <c r="K5" s="5">
        <v>115000</v>
      </c>
      <c r="L5" s="5">
        <v>0</v>
      </c>
      <c r="M5" s="5">
        <v>0</v>
      </c>
      <c r="N5" s="4">
        <v>226</v>
      </c>
    </row>
    <row r="6" ht="20" customHeight="1">
      <c r="A6" s="4" t="str">
        <v>AOW02: Fragile and Conflict-affected Food Systems</v>
      </c>
      <c r="B6" s="5">
        <v>2</v>
      </c>
      <c r="C6" s="5">
        <v>125000</v>
      </c>
      <c r="D6" s="5">
        <v>19</v>
      </c>
      <c r="E6" s="5">
        <v>575000</v>
      </c>
      <c r="F6" s="5">
        <v>50</v>
      </c>
      <c r="G6" s="5">
        <v>100000</v>
      </c>
      <c r="H6" s="5">
        <v>4</v>
      </c>
      <c r="I6" s="5">
        <v>50000</v>
      </c>
      <c r="J6" s="5">
        <v>850000</v>
      </c>
      <c r="K6" s="5">
        <v>850000</v>
      </c>
      <c r="L6" s="5">
        <v>0</v>
      </c>
      <c r="M6" s="5">
        <v>0</v>
      </c>
      <c r="N6" s="4">
        <v>228</v>
      </c>
    </row>
    <row r="7" ht="20" customHeight="1">
      <c r="A7" s="4" t="str">
        <v>AOW03: Urban Food Systems</v>
      </c>
      <c r="B7" s="5">
        <v>0</v>
      </c>
      <c r="C7" s="5">
        <v>0</v>
      </c>
      <c r="D7" s="5">
        <v>0</v>
      </c>
      <c r="E7" s="5">
        <v>0</v>
      </c>
      <c r="F7" s="5">
        <v>20</v>
      </c>
      <c r="G7" s="5">
        <v>100000</v>
      </c>
      <c r="H7" s="5">
        <v>0</v>
      </c>
      <c r="I7" s="5">
        <v>0</v>
      </c>
      <c r="J7" s="5">
        <v>100000</v>
      </c>
      <c r="K7" s="5">
        <v>100000</v>
      </c>
      <c r="L7" s="5">
        <v>0</v>
      </c>
      <c r="M7" s="5">
        <v>0</v>
      </c>
      <c r="N7" s="4">
        <v>227</v>
      </c>
    </row>
    <row r="8" ht="20" customHeight="1">
      <c r="A8" s="4" t="str">
        <v>AOW04: Island Food Systems</v>
      </c>
      <c r="B8" s="5">
        <v>2</v>
      </c>
      <c r="C8" s="5">
        <v>90000</v>
      </c>
      <c r="D8" s="5">
        <v>1</v>
      </c>
      <c r="E8" s="5">
        <v>50000</v>
      </c>
      <c r="F8" s="5">
        <v>0</v>
      </c>
      <c r="G8" s="5">
        <v>0</v>
      </c>
      <c r="H8" s="5">
        <v>0</v>
      </c>
      <c r="I8" s="5">
        <v>0</v>
      </c>
      <c r="J8" s="5">
        <v>140000</v>
      </c>
      <c r="K8" s="5">
        <v>140000</v>
      </c>
      <c r="L8" s="5">
        <v>0</v>
      </c>
      <c r="M8" s="5">
        <v>0</v>
      </c>
      <c r="N8" s="4">
        <v>229</v>
      </c>
    </row>
    <row r="9" ht="25" customHeight="1">
      <c r="A9" s="6" t="str">
        <v>Total</v>
      </c>
      <c r="B9" s="7" t="str">
        <v/>
      </c>
      <c r="C9" s="7">
        <v>215000</v>
      </c>
      <c r="D9" s="7" t="str">
        <v/>
      </c>
      <c r="E9" s="7">
        <v>720000</v>
      </c>
      <c r="F9" s="7" t="str">
        <v/>
      </c>
      <c r="G9" s="7">
        <v>220000</v>
      </c>
      <c r="H9" s="7" t="str">
        <v/>
      </c>
      <c r="I9" s="7">
        <v>50000</v>
      </c>
      <c r="J9" s="7">
        <v>1205000</v>
      </c>
      <c r="K9" s="7">
        <v>1205000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3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CIAT (Alliance)</v>
      </c>
      <c r="C3" s="4" t="str">
        <v>1.2.2 Evidence Synthesis and Adaptive Learning</v>
      </c>
      <c r="D3" s="4" t="str">
        <v>AW1P7: FCAS Operational Strategy- External partner listening and knowledge capture:  KPI- Develop and disseminate a minimum of 1 FCAS portfolio case studies demonstrating context-specific approaches to conflict sensitivity, partnerships, and delivery, with documented use of findings to inform operational strategy.</v>
      </c>
      <c r="E3" s="4" t="str">
        <v>Number of people trained (capacity sharing for development)</v>
      </c>
      <c r="F3" s="4" t="str">
        <v>Philippines, Mali, Jamaica, Kenya, Solomon Islands, Burkina Faso, Ethiopia, Timor-Leste, The Republic of the Sudan, Mozambique, Ghana, Papua New Guinea, Yemen, Nigeria, Somalia, Peru, Bangladesh, Jordan, Pakistan</v>
      </c>
      <c r="G3" s="5">
        <v>50</v>
      </c>
      <c r="H3" s="5">
        <v>20000</v>
      </c>
      <c r="I3" s="4" t="str">
        <v>Staff time to identify, document, and write case studies from CGIAR's FCAS work and compile, edit, and publish the final knowledge product with actionable evidence for the FCAS Operational Strategy.</v>
      </c>
      <c r="J3" s="4">
        <v>7827</v>
      </c>
    </row>
    <row r="4" ht="50" customHeight="1">
      <c r="A4" s="4" t="str">
        <v>AOW01: Future Food Systems Lab</v>
      </c>
      <c r="B4" s="4" t="str">
        <v>CIAT (Alliance)</v>
      </c>
      <c r="C4" s="4" t="str">
        <v>1.1.1 Envisioning Food System Futures</v>
      </c>
      <c r="D4" s="4" t="str">
        <v>AW1P7: FCAS Operational Strategy- KPI-Produce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4" s="4" t="str">
        <v>Number of knowledge products</v>
      </c>
      <c r="F4" s="4" t="str">
        <v>Yemen, Pakistan, Mozambique, Ethiopia, Burkina Faso, Peru, The Republic of the Sudan, Timor-Leste, Nigeria, Jamaica, Kenya, Solomon Islands, Ghana, Papua New Guinea, Bangladesh, Philippines, Mali, Jordan, Somalia</v>
      </c>
      <c r="G4" s="5">
        <v>1</v>
      </c>
      <c r="H4" s="5">
        <v>20000</v>
      </c>
      <c r="I4" s="4" t="str">
        <v>Staff time to identify, document, and write case studies from CGIAR's FCAS work and compile, edit, and publish the final knowledge product with actionable evidence for the FCAS Operational Strategy.</v>
      </c>
      <c r="J4" s="4">
        <v>7829</v>
      </c>
    </row>
    <row r="5" ht="50" customHeight="1">
      <c r="B5" s="4" t="str">
        <v>CIAT (Alliance)</v>
      </c>
      <c r="D5" s="4" t="str">
        <v xml:space="preserve">AW1P1: Food System Governance- Exploring the spatiotemporal dynamics of resilience loss and gain in frontier food systems through a systems analysis approach: The three focus frontier food systems will be modeled as complex, multi-level systems shaped by interdependent social, economic, environmental, and climatic factors. We aim to compare resilience dynamics across FCA, urban and peri-urban, and island systems to reveal shared vulnerabilities and their drivers, and identify characteristics of early warning signals such as critical slowing down. This deliverable will consist of a description of the model with accompanying codes, and results. </v>
      </c>
      <c r="E5" s="4" t="str">
        <v>Number of knowledge products</v>
      </c>
      <c r="F5" s="4" t="str">
        <v>Mali, Mozambique, Solomon Islands</v>
      </c>
      <c r="G5" s="5">
        <v>1</v>
      </c>
      <c r="H5" s="5">
        <v>75000</v>
      </c>
      <c r="I5" s="4" t="str">
        <v>TBC</v>
      </c>
      <c r="J5" s="4">
        <v>7830</v>
      </c>
    </row>
    <row r="6" ht="50" customHeight="1">
      <c r="B6" s="4" t="str">
        <v>CIAT (Alliance)</v>
      </c>
      <c r="D6" s="4" t="str">
        <v>Produce and share at least 2 co-designed knowledge products developed with stakeholders and partners, with documented validation and dissemination.</v>
      </c>
      <c r="E6" s="4" t="str">
        <v>Number of innovations (innovation development)</v>
      </c>
      <c r="F6" s="4" t="str">
        <v>Mozambique, Solomon Islands, Mali</v>
      </c>
      <c r="G6" s="5">
        <v>2</v>
      </c>
      <c r="H6" s="5">
        <v>0</v>
      </c>
      <c r="I6" s="4" t="str">
        <v/>
      </c>
      <c r="J6" s="4">
        <v>7863</v>
      </c>
    </row>
    <row r="7" ht="25" customHeight="1">
      <c r="C7" s="9" t="str">
        <v>HLO budget subtotal</v>
      </c>
      <c r="H7" s="9">
        <v>115000</v>
      </c>
      <c r="J7" s="9" t="str">
        <v/>
      </c>
    </row>
    <row r="8" ht="50" customHeight="1">
      <c r="A8" s="8" t="str">
        <v>AOW02: Fragile and Conflict-affected Food Systems</v>
      </c>
      <c r="B8" s="4" t="str">
        <v>CIAT (Alliance)</v>
      </c>
      <c r="C8" s="4" t="str">
        <v>2.1.1 Prevent</v>
      </c>
      <c r="D8" s="4" t="str">
        <v>AW 2P1: Early Warning and Decision Support Tools for Fragile Food Systems- 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v>
      </c>
      <c r="E8" s="4" t="str">
        <v>Number of knowledge products</v>
      </c>
      <c r="F8" s="4" t="str">
        <v>Syrian Arab Republic, The Republic of the Sudan</v>
      </c>
      <c r="G8" s="5">
        <v>2</v>
      </c>
      <c r="H8" s="5">
        <v>100000</v>
      </c>
      <c r="I8" s="4" t="str">
        <v>covers staff time to build new tools that link climate, conflict, and movement of people, and to create a knowledge product that helps with early warning and planning in fragile places</v>
      </c>
      <c r="J8" s="4">
        <v>6878</v>
      </c>
    </row>
    <row r="9" ht="50" customHeight="1">
      <c r="B9" s="4" t="str">
        <v>CIAT (Alliance)</v>
      </c>
      <c r="D9" s="4" t="str">
        <v>AW 2P1: Early Warning and Decision Support Tools for Fragile Food Systems- KPI Develop and operationalize Refugee Climate Vulnerability Index (RCVI) as a decision-support tool, including a validated methodology and analytical report, to inform targeting and planning of climate resilience interventions for refugee populations.</v>
      </c>
      <c r="E9" s="4" t="str">
        <v>Number of knowledge products</v>
      </c>
      <c r="F9" s="4" t="str">
        <v>Cameroon, Somalia, Mauritania, Chad, Kenya</v>
      </c>
      <c r="G9" s="5">
        <v>2</v>
      </c>
      <c r="H9" s="5">
        <v>25000</v>
      </c>
      <c r="I9" s="4" t="str">
        <v>covers staff time to build new tools that link climate, conflict, and movement of people, and to create a knowledge product that helps with early warning and planning in fragile places</v>
      </c>
      <c r="J9" s="4">
        <v>6879</v>
      </c>
    </row>
    <row r="10" ht="50" customHeight="1" xml:space="preserve">
      <c r="B10" s="4" t="str">
        <v>CIAT (Alliance)</v>
      </c>
      <c r="D10" s="4" t="str" xml:space="preserve">
        <v xml:space="preserve">AW 2P1: Early Warning and Decision Support Tools for Fragile Food Systems- KPI -Develop 1 innovation (Refugee Climate Vulnerability Index – RCVI) as a validated decision-support tool, including methodology and analytical outputs, to assess climate vulnerability and inform targeting and planning for refugee populations.
</v>
      </c>
      <c r="E10" s="4" t="str">
        <v>Number of innovations (innovation development)</v>
      </c>
      <c r="F10" s="4" t="str">
        <v>Cameroon, Somalia, Mauritania, Kenya, Chad</v>
      </c>
      <c r="G10" s="5">
        <v>1</v>
      </c>
      <c r="H10" s="5">
        <v>25000</v>
      </c>
      <c r="I10" s="4" t="str">
        <v>covers staff time to build new tools that link climate, conflict, and movement of people, and to create a knowledge product that helps with early warning and planning in fragile places</v>
      </c>
      <c r="J10" s="4">
        <v>6880</v>
      </c>
    </row>
    <row r="11" ht="50" customHeight="1" xml:space="preserve">
      <c r="B11" s="4" t="str">
        <v>CIAT (Alliance)</v>
      </c>
      <c r="D11" s="4" t="str">
        <v>AW 2P1: Early Warning and Decision Support Tools for Fragile Food Systems- Develop and deploy the Human mobility multi-modal dashboard to inform decision making</v>
      </c>
      <c r="E11" s="4" t="str">
        <v>Number of knowledge products</v>
      </c>
      <c r="F11" s="4" t="str">
        <v>The Republic of the Sudan</v>
      </c>
      <c r="G11" s="5">
        <v>3</v>
      </c>
      <c r="H11" s="5">
        <v>100000</v>
      </c>
      <c r="I11" s="4" t="str" xml:space="preserve">
        <v xml:space="preserve">covers cost to build and launch the dashboard, gather and process mobility data from different sources in Sudan, and create three knowledge products to help decision-makers.
</v>
      </c>
      <c r="J11" s="4">
        <v>6881</v>
      </c>
    </row>
    <row r="12" ht="50" customHeight="1">
      <c r="B12" s="4" t="str">
        <v>CIAT (Alliance)</v>
      </c>
      <c r="D12" s="4" t="str">
        <v>AW2P3: Fragility and Conflict Sensitivity Hub- 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v>
      </c>
      <c r="E12" s="4" t="str">
        <v>custom</v>
      </c>
      <c r="F12" s="4" t="str">
        <v>Senegal, Egypt, Kenya</v>
      </c>
      <c r="G12" s="5">
        <v>4</v>
      </c>
      <c r="H12" s="5">
        <v>50000</v>
      </c>
      <c r="I12" s="4" t="str">
        <v>Costing  to design the toolkit, test it with climate and conflict tools, and roll it out across multiple countries to help scientists work safely in fragile places</v>
      </c>
      <c r="J12" s="4">
        <v>6882</v>
      </c>
    </row>
    <row r="13" ht="50" customHeight="1">
      <c r="B13" s="4" t="str">
        <v>CIAT (Alliance)</v>
      </c>
      <c r="D13" s="4" t="str">
        <v>AW2P3:Fragility and Conflict Sensitivity Hub -Establish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v>
      </c>
      <c r="E13" s="4" t="str">
        <v>Number of innovations (innovation development)</v>
      </c>
      <c r="F13" s="4" t="str">
        <v>South Sudan, Ethiopia, Mali, The Republic of the Sudan, Kenya, Philippines, Nigeria, Burkina Faso</v>
      </c>
      <c r="G13" s="5">
        <v>1</v>
      </c>
      <c r="H13" s="5">
        <v>100000</v>
      </c>
      <c r="I13" s="4" t="str">
        <v>Costing covers cost to run the facility and operational costs for creating knowledge products to support peace and development work across eight countries</v>
      </c>
      <c r="J13" s="4">
        <v>6883</v>
      </c>
    </row>
    <row r="14" ht="50" customHeight="1">
      <c r="B14" s="4" t="str">
        <v>CIAT (Alliance)</v>
      </c>
      <c r="D14" s="4" t="str">
        <v>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v>
      </c>
      <c r="E14" s="4" t="str">
        <v>Number of people trained (capacity sharing for development)</v>
      </c>
      <c r="F14" s="4" t="str">
        <v>Ethiopia, South Sudan, Kenya, The Republic of the Sudan, Mali, Philippines, Nigeria, Burkina Faso</v>
      </c>
      <c r="G14" s="5">
        <v>50</v>
      </c>
      <c r="H14" s="5">
        <v>100000</v>
      </c>
      <c r="I14" s="4" t="str">
        <v>Costing to run the platform, operational costs for training events and travel across ten countries, and materials to train researchers and policymakers on conflict-sensitive practices.</v>
      </c>
      <c r="J14" s="4">
        <v>6884</v>
      </c>
    </row>
    <row r="15" ht="50" customHeight="1">
      <c r="A15" s="4" t="str">
        <v>AOW02: Fragile and Conflict-affected Food Systems</v>
      </c>
      <c r="B15" s="4" t="str">
        <v>CIAT (Alliance)</v>
      </c>
      <c r="C15" s="4" t="str">
        <v>2.2.2 Respond</v>
      </c>
      <c r="D15" s="4" t="str">
        <v>AW2P9: Strategic Humanitarian Response and Post-Conflict Recovery- Develop and disseminate 5 evidence and guidance products that support humanitarian and development partners operating in fragile and conflict-affected contexts.</v>
      </c>
      <c r="E15" s="4" t="str">
        <v>Number of knowledge products</v>
      </c>
      <c r="F15" s="4" t="str">
        <v>Burkina Faso, The Republic of the Sudan, Niger, Mali</v>
      </c>
      <c r="G15" s="5">
        <v>5</v>
      </c>
      <c r="H15" s="5">
        <v>0</v>
      </c>
      <c r="I15" s="4" t="str">
        <v/>
      </c>
      <c r="J15" s="4">
        <v>6887</v>
      </c>
    </row>
    <row r="16" ht="50" customHeight="1">
      <c r="B16" s="4" t="str">
        <v>CIAT (Alliance)</v>
      </c>
      <c r="D16" s="4" t="str">
        <v>AW 2P1: Early Warning and Decision Support Tools for Fragile Food Systems- Develop and deploy the Crisis Assessment for Rapid Response - Food Insecurity (CARR-F)</v>
      </c>
      <c r="E16" s="4" t="str">
        <v>Number of knowledge products</v>
      </c>
      <c r="F16" s="4" t="str">
        <v>The Republic of the Sudan</v>
      </c>
      <c r="G16" s="5">
        <v>1</v>
      </c>
      <c r="H16" s="5">
        <v>50000</v>
      </c>
      <c r="I16" s="4" t="str">
        <v>1 kp budget</v>
      </c>
      <c r="J16" s="4">
        <v>6894</v>
      </c>
    </row>
    <row r="17" ht="50" customHeight="1">
      <c r="B17" s="4" t="str">
        <v>CIAT (Alliance)</v>
      </c>
      <c r="D17" s="4" t="str">
        <v>Produce at least 1 research paper that deepens analysis of the climate–conflict–displacement nexus in the Sahel, generating evidence on how climate and conflict stressors shape internal displacement dynamics and vulnerability, as measured by the number of knowledge products produced.”</v>
      </c>
      <c r="E17" s="4" t="str">
        <v>Number of knowledge products</v>
      </c>
      <c r="F17" s="4" t="str">
        <v>Niger, Burkina Faso, Mali</v>
      </c>
      <c r="G17" s="5">
        <v>1</v>
      </c>
      <c r="H17" s="5">
        <v>33334</v>
      </c>
      <c r="I17" s="4" t="str">
        <v>TBC</v>
      </c>
      <c r="J17" s="4">
        <v>7532</v>
      </c>
    </row>
    <row r="18" ht="50" customHeight="1">
      <c r="B18" s="4" t="str">
        <v>CIAT (Alliance)</v>
      </c>
      <c r="D18" s="4" t="str">
        <v xml:space="preserve">Knowledge product focusing on opportunities to integrate refugees and IDP communities into Sudan agri-food systems (existing cooperation modalities, etc.) </v>
      </c>
      <c r="E18" s="4" t="str">
        <v>Number of knowledge products</v>
      </c>
      <c r="F18" s="4" t="str">
        <v>South Sudan, Niger, The Republic of the Sudan, Burkina Faso, Egypt, Mali</v>
      </c>
      <c r="G18" s="5">
        <v>1</v>
      </c>
      <c r="H18" s="5">
        <v>33334</v>
      </c>
      <c r="I18" s="4" t="str">
        <v>tbc</v>
      </c>
      <c r="J18" s="4">
        <v>7831</v>
      </c>
    </row>
    <row r="19" ht="50" customHeight="1">
      <c r="B19" s="4" t="str">
        <v>CIAT (Alliance)</v>
      </c>
      <c r="D19" s="4" t="str">
        <v xml:space="preserve">Publish 3 policy briefs associated with the CEF project that document findings from sub-regional dialogues on socio-ecological tipping points and their implications for resilience and adaptation strategies.” </v>
      </c>
      <c r="E19" s="4" t="str">
        <v>Number of knowledge products</v>
      </c>
      <c r="F19" s="4" t="str">
        <v>The Republic of the Sudan, Burkina Faso, Niger, South Sudan, Mali, Egypt</v>
      </c>
      <c r="G19" s="5">
        <v>3</v>
      </c>
      <c r="H19" s="5">
        <v>33333</v>
      </c>
      <c r="I19" s="4" t="str">
        <v>KP BUDGET</v>
      </c>
      <c r="J19" s="4">
        <v>7832</v>
      </c>
    </row>
    <row r="20" ht="50" customHeight="1">
      <c r="B20" s="4" t="str">
        <v>CIAT (Alliance)</v>
      </c>
      <c r="D20" s="4" t="str">
        <v>Develop and disseminate 1 methodological manual for the Climate-Conflict Pressure Index, providing standardized guidance for assessing climate-conflict risks and informing resilience and early warning planning.</v>
      </c>
      <c r="E20" s="4" t="str">
        <v>Number of knowledge products</v>
      </c>
      <c r="F20" s="4" t="str">
        <v>The Republic of the Sudan, Burkina Faso, Mali, South Sudan, Niger, Egypt</v>
      </c>
      <c r="G20" s="5">
        <v>1</v>
      </c>
      <c r="H20" s="5">
        <v>33334</v>
      </c>
      <c r="I20" s="4" t="str">
        <v>KP BUDGET</v>
      </c>
      <c r="J20" s="4">
        <v>7834</v>
      </c>
    </row>
    <row r="21" ht="50" customHeight="1">
      <c r="B21" s="4" t="str">
        <v>CIAT (Alliance)</v>
      </c>
      <c r="D21" s="4" t="str">
        <v>Produce 1 knowledge product supporting a training program for United Nations Office for West Africa and the Sahel to strengthen the capacity of Economic Community of West African States and a broader network of stakeholders, within the framework of a Climate Policy and Security (CPS) conference in West and Central Africa.</v>
      </c>
      <c r="E21" s="4" t="str">
        <v>Number of knowledge products</v>
      </c>
      <c r="F21" s="4" t="str">
        <v>South Sudan, Niger, Mali, Egypt, The Republic of the Sudan, Burkina Faso</v>
      </c>
      <c r="G21" s="5">
        <v>1</v>
      </c>
      <c r="H21" s="5">
        <v>33333</v>
      </c>
      <c r="I21" s="4" t="str">
        <v>KP BUDGET</v>
      </c>
      <c r="J21" s="4">
        <v>7835</v>
      </c>
    </row>
    <row r="22" ht="50" customHeight="1">
      <c r="B22" s="4" t="str">
        <v>CIAT (Alliance)</v>
      </c>
      <c r="D22" s="4" t="str">
        <v xml:space="preserve">Report: Corridor-based climate hotspot analysis focused on crossing points between South Sudan and Sudan and recommendations for locally appropriate adaptation interventions for displaced people. </v>
      </c>
      <c r="E22" s="4" t="str">
        <v>Number of knowledge products</v>
      </c>
      <c r="F22" s="4" t="str">
        <v>The Republic of the Sudan, Niger, Mali, Egypt, Burkina Faso, South Sudan</v>
      </c>
      <c r="G22" s="5">
        <v>1</v>
      </c>
      <c r="H22" s="5">
        <v>33333</v>
      </c>
      <c r="I22" s="4" t="str">
        <v>KP BUDGET</v>
      </c>
      <c r="J22" s="4">
        <v>7859</v>
      </c>
    </row>
    <row r="23" ht="50" customHeight="1">
      <c r="B23" s="4" t="str">
        <v>CIAT (Alliance)</v>
      </c>
      <c r="D23" s="4" t="str">
        <v>Report- Clean energy evidence: Clean cookstove scaling in Sudan's displacement settings</v>
      </c>
      <c r="E23" s="4" t="str">
        <v>Number of knowledge products</v>
      </c>
      <c r="F23" s="4" t="str">
        <v>The Republic of the Sudan, Mali, South Sudan, Burkina Faso, Egypt, Niger</v>
      </c>
      <c r="G23" s="5">
        <v>1</v>
      </c>
      <c r="H23" s="5">
        <v>33333</v>
      </c>
      <c r="I23" s="4" t="str">
        <v>KP BUDGET</v>
      </c>
      <c r="J23" s="4">
        <v>7860</v>
      </c>
    </row>
    <row r="24" ht="50" customHeight="1">
      <c r="B24" s="4" t="str">
        <v>CIAT (Alliance)</v>
      </c>
      <c r="D24" s="4" t="str">
        <v>Policy brief on the link between climate and conflict risk and displacement in the central Sahel, based on Project 21 and UNHCR datasets.</v>
      </c>
      <c r="E24" s="4" t="str">
        <v>Number of knowledge products</v>
      </c>
      <c r="F24" s="4" t="str">
        <v>Burkina Faso, Mali, South Sudan, The Republic of the Sudan, Egypt, Niger</v>
      </c>
      <c r="G24" s="5">
        <v>1</v>
      </c>
      <c r="H24" s="5">
        <v>33333</v>
      </c>
      <c r="I24" s="4" t="str">
        <v>KP bUDGET</v>
      </c>
      <c r="J24" s="4">
        <v>7861</v>
      </c>
    </row>
    <row r="25" ht="50" customHeight="1">
      <c r="B25" s="4" t="str">
        <v>CIAT (Alliance)</v>
      </c>
      <c r="D25" s="4" t="str">
        <v xml:space="preserve">Develop a manual for training exchange and Learning Program, to enhance localization of climate-related risk assessment and response by GTH members. </v>
      </c>
      <c r="E25" s="4" t="str">
        <v>Number of knowledge products</v>
      </c>
      <c r="F25" s="4" t="str">
        <v>The Republic of the Sudan, Egypt, Mali, Burkina Faso, South Sudan</v>
      </c>
      <c r="G25" s="5">
        <v>1</v>
      </c>
      <c r="H25" s="5">
        <v>33333</v>
      </c>
      <c r="I25" s="4" t="str">
        <v>KP BUDGET</v>
      </c>
      <c r="J25" s="4">
        <v>7865</v>
      </c>
    </row>
    <row r="26" ht="25" customHeight="1">
      <c r="C26" s="9" t="str">
        <v>HLO budget subtotal</v>
      </c>
      <c r="H26" s="9">
        <v>850000</v>
      </c>
      <c r="J26" s="9" t="str">
        <v/>
      </c>
    </row>
    <row r="27" ht="50" customHeight="1">
      <c r="A27" s="8" t="str">
        <v>AOW03: Urban Food Systems</v>
      </c>
      <c r="B27" s="4" t="str">
        <v>CIAT (Alliance)</v>
      </c>
      <c r="C27" s="4" t="str">
        <v>3.5.5 Urban food systems governance</v>
      </c>
      <c r="D27" s="4" t="str">
        <v>AW3P5: Food systems governance- Capacity building workshop for stakeholder on foresight tools</v>
      </c>
      <c r="E27" s="4" t="str">
        <v>Number of people trained (capacity sharing for development)</v>
      </c>
      <c r="F27" s="4" t="str">
        <v>Philippines, Kenya</v>
      </c>
      <c r="G27" s="5">
        <v>20</v>
      </c>
      <c r="H27" s="5">
        <v>100000</v>
      </c>
      <c r="I27" s="4" t="str">
        <v>study on Foresight tools and evidence products developed and disseminated to policymakers and partners</v>
      </c>
      <c r="J27" s="4">
        <v>8093</v>
      </c>
    </row>
    <row r="28" ht="25" customHeight="1">
      <c r="C28" s="9" t="str">
        <v>HLO budget subtotal</v>
      </c>
      <c r="H28" s="9">
        <v>100000</v>
      </c>
      <c r="J28" s="9" t="str">
        <v/>
      </c>
    </row>
    <row r="29" ht="50" customHeight="1">
      <c r="A29" s="8" t="str">
        <v>AOW04: Island Food Systems</v>
      </c>
      <c r="B29" s="4" t="str">
        <v>CIAT (Alliance)</v>
      </c>
      <c r="C29" s="4" t="str">
        <v>4.1.1 SUSTAINABILITY</v>
      </c>
      <c r="D29" s="4" t="str">
        <v>AW4P2: Sustainable and resilient production- Journal article on design and validation of novel climate indices to inform resilience planning along the blue–green gradient</v>
      </c>
      <c r="E29" s="4" t="str">
        <v>Number of knowledge products</v>
      </c>
      <c r="F29" s="4" t="str">
        <v>Mozambique, Kenya, Solomon Islands</v>
      </c>
      <c r="G29" s="5">
        <v>1</v>
      </c>
      <c r="H29" s="5">
        <v>50000</v>
      </c>
      <c r="I29" s="4" t="str">
        <v>Costing covers staff time to design and validate climate indices using data from all three countries, plus operational budget for data access, software, and cross-country coordination, and staff time to write, submit, and publish the journal article including open-access fees</v>
      </c>
      <c r="J29" s="4">
        <v>6910</v>
      </c>
    </row>
    <row r="30" ht="50" customHeight="1">
      <c r="B30" s="4" t="str">
        <v>CIAT (Alliance)</v>
      </c>
      <c r="D30" s="4" t="str">
        <v xml:space="preserve"> AW4P2. Sustainable and resilient production- Co-creation of a systems-based analytical framework to assess the blue-green gradient through a climate resilience lens</v>
      </c>
      <c r="E30" s="4" t="str">
        <v>Number of innovations (innovation development)</v>
      </c>
      <c r="F30" s="4" t="str">
        <v>Kenya, Solomon Islands</v>
      </c>
      <c r="G30" s="5">
        <v>2</v>
      </c>
      <c r="H30" s="5">
        <v>90000</v>
      </c>
      <c r="I30" s="4" t="str">
        <v>Costing covers staff time to run co-creation workshops with local partners in Kenya and Solomon Islands, plus operational budget for travel, venue, materials, and translation, and staff time to document two innovation outputs (the framework and a user guide)</v>
      </c>
      <c r="J30" s="4">
        <v>6911</v>
      </c>
    </row>
    <row r="31" ht="50" customHeight="1">
      <c r="A31" s="4" t="str">
        <v>AOW04: Island Food Systems</v>
      </c>
      <c r="B31" s="4" t="str">
        <v>CIAT (Alliance)</v>
      </c>
      <c r="C31" s="4" t="str">
        <v>4.3.5 DIAGNOSTICS</v>
      </c>
      <c r="D31" s="4" t="str">
        <v xml:space="preserve"> AW4P2. Sustainable and resilient production- Co-creation of a systems-based analytical framework to assess the blue-green gradient through a climate resilience lens</v>
      </c>
      <c r="E31" s="4" t="str">
        <v>Number of innovations (innovation development)</v>
      </c>
      <c r="F31" s="4" t="str">
        <v>Kenya, Solomon Islands</v>
      </c>
      <c r="G31" s="5">
        <v>2</v>
      </c>
      <c r="H31" s="5">
        <v>0</v>
      </c>
      <c r="I31" s="4" t="str">
        <v/>
      </c>
      <c r="J31" s="4">
        <v>8284</v>
      </c>
    </row>
    <row r="32" ht="25" customHeight="1">
      <c r="C32" s="9" t="str">
        <v>HLO budget subtotal</v>
      </c>
      <c r="H32" s="9">
        <v>140000</v>
      </c>
      <c r="J32" s="9" t="str">
        <v/>
      </c>
    </row>
  </sheetData>
  <mergeCells count="18">
    <mergeCell ref="A1:A2"/>
    <mergeCell ref="B1:B2"/>
    <mergeCell ref="C1:C2"/>
    <mergeCell ref="D1:H1"/>
    <mergeCell ref="I1:I2"/>
    <mergeCell ref="J1:J2"/>
    <mergeCell ref="C4:C6"/>
    <mergeCell ref="C7:G7"/>
    <mergeCell ref="A3:A7"/>
    <mergeCell ref="C8:C14"/>
    <mergeCell ref="C15:C25"/>
    <mergeCell ref="C26:G26"/>
    <mergeCell ref="A8:A26"/>
    <mergeCell ref="C28:G28"/>
    <mergeCell ref="A27:A28"/>
    <mergeCell ref="C29:C30"/>
    <mergeCell ref="C32:G32"/>
    <mergeCell ref="A29:A32"/>
  </mergeCells>
  <ignoredErrors>
    <ignoredError numberStoredAsText="1" sqref="A1:J3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115000</v>
      </c>
      <c r="D2" s="5">
        <v>676250</v>
      </c>
      <c r="E2" s="5">
        <v>90000</v>
      </c>
      <c r="F2" s="5">
        <v>140000</v>
      </c>
      <c r="G2" s="5">
        <f>=SUM(B2:F2)</f>
        <v>0</v>
      </c>
    </row>
    <row r="3" ht="20" customHeight="1">
      <c r="A3" s="4" t="str">
        <v>Operations (supplies, consultants, travels, workshops, other)</v>
      </c>
      <c r="B3" s="5">
        <v>0</v>
      </c>
      <c r="C3" s="5">
        <v>0</v>
      </c>
      <c r="D3" s="5">
        <v>173750</v>
      </c>
      <c r="E3" s="5">
        <v>10000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Future Food Systems Lab</v>
      </c>
      <c r="B2" s="4" t="str">
        <v>CIAT (Alliance)</v>
      </c>
      <c r="C2" s="4" t="str">
        <v>Bangladesh</v>
      </c>
      <c r="D2" s="5">
        <v>10</v>
      </c>
      <c r="E2" s="4">
        <v>1625</v>
      </c>
    </row>
    <row r="3" ht="45" customHeight="1">
      <c r="A3" s="4" t="str">
        <v>AOW01: Future Food Systems Lab</v>
      </c>
      <c r="B3" s="4" t="str">
        <v>CIAT (Alliance)</v>
      </c>
      <c r="C3" s="4" t="str">
        <v>Burkina Faso</v>
      </c>
      <c r="D3" s="5">
        <v>10</v>
      </c>
      <c r="E3" s="4">
        <v>1626</v>
      </c>
    </row>
    <row r="4" ht="45" customHeight="1">
      <c r="A4" s="4" t="str">
        <v>AOW01: Future Food Systems Lab</v>
      </c>
      <c r="B4" s="4" t="str">
        <v>CIAT (Alliance)</v>
      </c>
      <c r="C4" s="4" t="str">
        <v>Ethiopia</v>
      </c>
      <c r="D4" s="5">
        <v>20</v>
      </c>
      <c r="E4" s="4">
        <v>1627</v>
      </c>
    </row>
    <row r="5" ht="45" customHeight="1">
      <c r="A5" s="4" t="str">
        <v>AOW01: Future Food Systems Lab</v>
      </c>
      <c r="B5" s="4" t="str">
        <v>CIAT (Alliance)</v>
      </c>
      <c r="C5" s="4" t="str">
        <v>Mali</v>
      </c>
      <c r="D5" s="5">
        <v>20</v>
      </c>
      <c r="E5" s="4">
        <v>1622</v>
      </c>
    </row>
    <row r="6" ht="45" customHeight="1">
      <c r="A6" s="4" t="str">
        <v>AOW01: Future Food Systems Lab</v>
      </c>
      <c r="B6" s="4" t="str">
        <v>CIAT (Alliance)</v>
      </c>
      <c r="C6" s="4" t="str">
        <v>Mozambique</v>
      </c>
      <c r="D6" s="5">
        <v>20</v>
      </c>
      <c r="E6" s="4">
        <v>954</v>
      </c>
    </row>
    <row r="7" ht="45" customHeight="1">
      <c r="A7" s="4" t="str">
        <v>AOW01: Future Food Systems Lab</v>
      </c>
      <c r="B7" s="4" t="str">
        <v>CIAT (Alliance)</v>
      </c>
      <c r="C7" s="4" t="str">
        <v>Papua New Guinea</v>
      </c>
      <c r="D7" s="5">
        <v>0</v>
      </c>
      <c r="E7" s="4">
        <v>1624</v>
      </c>
    </row>
    <row r="8" ht="45" customHeight="1">
      <c r="A8" s="4" t="str">
        <v>AOW01: Future Food Systems Lab</v>
      </c>
      <c r="B8" s="4" t="str">
        <v>CIAT (Alliance)</v>
      </c>
      <c r="C8" s="4" t="str">
        <v>Solomon Islands</v>
      </c>
      <c r="D8" s="5">
        <v>20</v>
      </c>
      <c r="E8" s="4">
        <v>1623</v>
      </c>
    </row>
    <row r="9" ht="45" customHeight="1">
      <c r="A9" s="8" t="str">
        <v>AOW02: Fragile and Conflict-affected Food Systems</v>
      </c>
      <c r="B9" s="4" t="str">
        <v>CIAT (Alliance)</v>
      </c>
      <c r="C9" s="4" t="str">
        <v>Burkina Faso</v>
      </c>
      <c r="D9" s="5">
        <v>10</v>
      </c>
      <c r="E9" s="4">
        <v>136</v>
      </c>
    </row>
    <row r="10" ht="45" customHeight="1">
      <c r="A10" s="4" t="str">
        <v>AOW02: Fragile and Conflict-affected Food Systems</v>
      </c>
      <c r="B10" s="4" t="str">
        <v>CIAT (Alliance)</v>
      </c>
      <c r="C10" s="4" t="str">
        <v>Kenya</v>
      </c>
      <c r="D10" s="5">
        <v>25</v>
      </c>
      <c r="E10" s="4">
        <v>134</v>
      </c>
    </row>
    <row r="11" ht="45" customHeight="1">
      <c r="A11" s="4" t="str">
        <v>AOW02: Fragile and Conflict-affected Food Systems</v>
      </c>
      <c r="B11" s="4" t="str">
        <v>CIAT (Alliance)</v>
      </c>
      <c r="C11" s="4" t="str">
        <v>Philippines</v>
      </c>
      <c r="D11" s="5">
        <v>10</v>
      </c>
      <c r="E11" s="4">
        <v>140</v>
      </c>
    </row>
    <row r="12" ht="45" customHeight="1">
      <c r="A12" s="4" t="str">
        <v>AOW02: Fragile and Conflict-affected Food Systems</v>
      </c>
      <c r="B12" s="4" t="str">
        <v>CIAT (Alliance)</v>
      </c>
      <c r="C12" s="4" t="str">
        <v>Senegal</v>
      </c>
      <c r="D12" s="5">
        <v>25</v>
      </c>
      <c r="E12" s="4">
        <v>135</v>
      </c>
    </row>
    <row r="13" ht="45" customHeight="1">
      <c r="A13" s="4" t="str">
        <v>AOW02: Fragile and Conflict-affected Food Systems</v>
      </c>
      <c r="B13" s="4" t="str">
        <v>CIAT (Alliance)</v>
      </c>
      <c r="C13" s="4" t="str">
        <v>Somalia</v>
      </c>
      <c r="D13" s="5">
        <v>0</v>
      </c>
      <c r="E13" s="4">
        <v>137</v>
      </c>
    </row>
    <row r="14" ht="45" customHeight="1">
      <c r="A14" s="4" t="str">
        <v>AOW02: Fragile and Conflict-affected Food Systems</v>
      </c>
      <c r="B14" s="4" t="str">
        <v>CIAT (Alliance)</v>
      </c>
      <c r="C14" s="4" t="str">
        <v>South Sudan</v>
      </c>
      <c r="D14" s="5">
        <v>20</v>
      </c>
      <c r="E14" s="4">
        <v>138</v>
      </c>
    </row>
    <row r="15" ht="45" customHeight="1">
      <c r="A15" s="4" t="str">
        <v>AOW02: Fragile and Conflict-affected Food Systems</v>
      </c>
      <c r="B15" s="4" t="str">
        <v>CIAT (Alliance)</v>
      </c>
      <c r="C15" s="4" t="str">
        <v>The Republic of the Sudan</v>
      </c>
      <c r="D15" s="5">
        <v>10</v>
      </c>
      <c r="E15" s="4">
        <v>139</v>
      </c>
    </row>
    <row r="16" ht="45" customHeight="1">
      <c r="A16" s="8" t="str">
        <v>AOW03: Urban Food Systems</v>
      </c>
      <c r="B16" s="4" t="str">
        <v>CIAT (Alliance)</v>
      </c>
      <c r="C16" s="4" t="str">
        <v>Kenya</v>
      </c>
      <c r="D16" s="5">
        <v>50</v>
      </c>
      <c r="E16" s="4">
        <v>3369</v>
      </c>
    </row>
    <row r="17" ht="45" customHeight="1">
      <c r="A17" s="4" t="str">
        <v>AOW03: Urban Food Systems</v>
      </c>
      <c r="B17" s="4" t="str">
        <v>CIAT (Alliance)</v>
      </c>
      <c r="C17" s="4" t="str">
        <v>Philippines</v>
      </c>
      <c r="D17" s="5">
        <v>50</v>
      </c>
      <c r="E17" s="4">
        <v>3370</v>
      </c>
    </row>
    <row r="18" ht="45" customHeight="1">
      <c r="A18" s="8" t="str">
        <v>AOW04: Island Food Systems</v>
      </c>
      <c r="B18" s="4" t="str">
        <v>CIAT (Alliance)</v>
      </c>
      <c r="C18" s="4" t="str">
        <v>Kenya</v>
      </c>
      <c r="D18" s="5">
        <v>40</v>
      </c>
      <c r="E18" s="4">
        <v>965</v>
      </c>
    </row>
    <row r="19" ht="45" customHeight="1">
      <c r="A19" s="4" t="str">
        <v>AOW04: Island Food Systems</v>
      </c>
      <c r="B19" s="4" t="str">
        <v>CIAT (Alliance)</v>
      </c>
      <c r="C19" s="4" t="str">
        <v>Mozambique</v>
      </c>
      <c r="D19" s="5">
        <v>20</v>
      </c>
      <c r="E19" s="4">
        <v>966</v>
      </c>
    </row>
    <row r="20" ht="45" customHeight="1">
      <c r="A20" s="4" t="str">
        <v>AOW04: Island Food Systems</v>
      </c>
      <c r="B20" s="4" t="str">
        <v>CIAT (Alliance)</v>
      </c>
      <c r="C20" s="4" t="str">
        <v>Solomon Islands</v>
      </c>
      <c r="D20" s="5">
        <v>40</v>
      </c>
      <c r="E20" s="4">
        <v>967</v>
      </c>
    </row>
  </sheetData>
  <mergeCells count="4">
    <mergeCell ref="A2:A8"/>
    <mergeCell ref="A9:A15"/>
    <mergeCell ref="A16:A17"/>
    <mergeCell ref="A18: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1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Future Food Systems Lab</v>
      </c>
      <c r="B2" s="4" t="str">
        <v>CIAT (Alliance)</v>
      </c>
      <c r="C2" s="4" t="str">
        <v>Global</v>
      </c>
      <c r="D2" s="4" t="str">
        <v>global</v>
      </c>
      <c r="E2" s="5">
        <v>60</v>
      </c>
      <c r="F2" s="4">
        <v>273</v>
      </c>
    </row>
    <row r="3" ht="45" customHeight="1">
      <c r="A3" s="4" t="str">
        <v>AOW01: Future Food Systems Lab</v>
      </c>
      <c r="B3" s="4" t="str">
        <v>CIAT (Alliance)</v>
      </c>
      <c r="C3" s="4" t="str">
        <v>Africa</v>
      </c>
      <c r="D3" s="4" t="str">
        <v>region</v>
      </c>
      <c r="E3" s="5">
        <v>20</v>
      </c>
      <c r="F3" s="4">
        <v>571</v>
      </c>
    </row>
    <row r="4" ht="45" customHeight="1">
      <c r="A4" s="4" t="str">
        <v>AOW01: Future Food Systems Lab</v>
      </c>
      <c r="B4" s="4" t="str">
        <v>CIAT (Alliance)</v>
      </c>
      <c r="C4" s="4" t="str">
        <v>Oceania</v>
      </c>
      <c r="D4" s="4" t="str">
        <v>region</v>
      </c>
      <c r="E4" s="5">
        <v>20</v>
      </c>
      <c r="F4" s="4">
        <v>572</v>
      </c>
    </row>
    <row r="5" ht="45" customHeight="1">
      <c r="A5" s="8" t="str">
        <v>AOW02: Fragile and Conflict-affected Food Systems</v>
      </c>
      <c r="B5" s="4" t="str">
        <v>CIAT (Alliance)</v>
      </c>
      <c r="C5" s="4" t="str">
        <v>Global</v>
      </c>
      <c r="D5" s="4" t="str">
        <v>global</v>
      </c>
      <c r="E5" s="5">
        <v>0</v>
      </c>
      <c r="F5" s="4">
        <v>123</v>
      </c>
    </row>
    <row r="6" ht="45" customHeight="1">
      <c r="A6" s="4" t="str">
        <v>AOW02: Fragile and Conflict-affected Food Systems</v>
      </c>
      <c r="B6" s="4" t="str">
        <v>CIAT (Alliance)</v>
      </c>
      <c r="C6" s="4" t="str">
        <v>Africa</v>
      </c>
      <c r="D6" s="4" t="str">
        <v>region</v>
      </c>
      <c r="E6" s="5">
        <v>80</v>
      </c>
      <c r="F6" s="4">
        <v>126</v>
      </c>
    </row>
    <row r="7" ht="45" customHeight="1">
      <c r="A7" s="4" t="str">
        <v>AOW02: Fragile and Conflict-affected Food Systems</v>
      </c>
      <c r="B7" s="4" t="str">
        <v>CIAT (Alliance)</v>
      </c>
      <c r="C7" s="4" t="str">
        <v>Asia</v>
      </c>
      <c r="D7" s="4" t="str">
        <v>region</v>
      </c>
      <c r="E7" s="5">
        <v>20</v>
      </c>
      <c r="F7" s="4">
        <v>127</v>
      </c>
    </row>
    <row r="8" ht="45" customHeight="1">
      <c r="A8" s="8" t="str">
        <v>AOW03: Urban Food Systems</v>
      </c>
      <c r="B8" s="4" t="str">
        <v>CIAT (Alliance)</v>
      </c>
      <c r="C8" s="4" t="str">
        <v>Global</v>
      </c>
      <c r="D8" s="4" t="str">
        <v>global</v>
      </c>
      <c r="E8" s="5">
        <v>100</v>
      </c>
      <c r="F8" s="4">
        <v>1681</v>
      </c>
    </row>
    <row r="9" ht="45" customHeight="1">
      <c r="A9" s="8" t="str">
        <v>AOW04: Island Food Systems</v>
      </c>
      <c r="B9" s="4" t="str">
        <v>CIAT (Alliance)</v>
      </c>
      <c r="C9" s="4" t="str">
        <v>Africa</v>
      </c>
      <c r="D9" s="4" t="str">
        <v>region</v>
      </c>
      <c r="E9" s="5">
        <v>50</v>
      </c>
      <c r="F9" s="4">
        <v>281</v>
      </c>
    </row>
    <row r="10" ht="45" customHeight="1">
      <c r="A10" s="4" t="str">
        <v>AOW04: Island Food Systems</v>
      </c>
      <c r="B10" s="4" t="str">
        <v>CIAT (Alliance)</v>
      </c>
      <c r="C10" s="4" t="str">
        <v>Oceania</v>
      </c>
      <c r="D10" s="4" t="str">
        <v>region</v>
      </c>
      <c r="E10" s="5">
        <v>50</v>
      </c>
      <c r="F10" s="4">
        <v>282</v>
      </c>
    </row>
  </sheetData>
  <mergeCells count="4">
    <mergeCell ref="A2:A4"/>
    <mergeCell ref="A5:A7"/>
    <mergeCell ref="A8"/>
    <mergeCell ref="A9:A10"/>
  </mergeCells>
  <ignoredErrors>
    <ignoredError numberStoredAsText="1" sqref="A1:F10"/>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