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916196</v>
      </c>
      <c r="K4" s="5">
        <v>916196</v>
      </c>
      <c r="L4" s="5">
        <v>0</v>
      </c>
      <c r="M4" s="5">
        <v>0</v>
      </c>
      <c r="N4" s="4">
        <v>230</v>
      </c>
    </row>
    <row r="5" ht="20" customHeight="1">
      <c r="A5" s="4" t="str">
        <v>AOW01: Future Food Systems Lab</v>
      </c>
      <c r="B5" s="5">
        <v>0</v>
      </c>
      <c r="C5" s="5">
        <v>0</v>
      </c>
      <c r="D5" s="5">
        <v>0</v>
      </c>
      <c r="E5" s="5">
        <v>0</v>
      </c>
      <c r="F5" s="5">
        <v>0</v>
      </c>
      <c r="G5" s="5">
        <v>0</v>
      </c>
      <c r="H5" s="5">
        <v>0</v>
      </c>
      <c r="I5" s="5">
        <v>0</v>
      </c>
      <c r="J5" s="5">
        <v>0</v>
      </c>
      <c r="K5" s="5">
        <v>0</v>
      </c>
      <c r="L5" s="5">
        <v>0</v>
      </c>
      <c r="M5" s="5">
        <v>0</v>
      </c>
      <c r="N5" s="4">
        <v>226</v>
      </c>
    </row>
    <row r="6" ht="20" customHeight="1">
      <c r="A6" s="4" t="str">
        <v>AOW02: Fragile and Conflict-affected Food Systems</v>
      </c>
      <c r="B6" s="5">
        <v>0</v>
      </c>
      <c r="C6" s="5">
        <v>0</v>
      </c>
      <c r="D6" s="5">
        <v>0</v>
      </c>
      <c r="E6" s="5">
        <v>0</v>
      </c>
      <c r="F6" s="5">
        <v>0</v>
      </c>
      <c r="G6" s="5">
        <v>0</v>
      </c>
      <c r="H6" s="5">
        <v>0</v>
      </c>
      <c r="I6" s="5">
        <v>0</v>
      </c>
      <c r="J6" s="5">
        <v>0</v>
      </c>
      <c r="K6" s="5">
        <v>0</v>
      </c>
      <c r="L6" s="5">
        <v>0</v>
      </c>
      <c r="M6" s="5">
        <v>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0</v>
      </c>
      <c r="C8" s="5">
        <v>0</v>
      </c>
      <c r="D8" s="5">
        <v>0</v>
      </c>
      <c r="E8" s="5">
        <v>0</v>
      </c>
      <c r="F8" s="5">
        <v>0</v>
      </c>
      <c r="G8" s="5">
        <v>0</v>
      </c>
      <c r="H8" s="5">
        <v>0</v>
      </c>
      <c r="I8" s="5">
        <v>0</v>
      </c>
      <c r="J8" s="5">
        <v>0</v>
      </c>
      <c r="K8" s="5">
        <v>0</v>
      </c>
      <c r="L8" s="5">
        <v>0</v>
      </c>
      <c r="M8" s="5">
        <v>0</v>
      </c>
      <c r="N8" s="4">
        <v>229</v>
      </c>
    </row>
    <row r="9" ht="25" customHeight="1">
      <c r="A9" s="6" t="str">
        <v>Total</v>
      </c>
      <c r="B9" s="7" t="str">
        <v/>
      </c>
      <c r="C9" s="7">
        <v>0</v>
      </c>
      <c r="D9" s="7" t="str">
        <v/>
      </c>
      <c r="E9" s="7">
        <v>0</v>
      </c>
      <c r="F9" s="7" t="str">
        <v/>
      </c>
      <c r="G9" s="7">
        <v>0</v>
      </c>
      <c r="H9" s="7" t="str">
        <v/>
      </c>
      <c r="I9" s="7">
        <v>0</v>
      </c>
      <c r="J9" s="7">
        <v>916196</v>
      </c>
      <c r="K9" s="7">
        <v>916196</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AOW02: Fragile and Conflict-affected Food Systems</v>
      </c>
      <c r="B3" s="4" t="str">
        <v>Unknown Center</v>
      </c>
      <c r="C3" s="4" t="str">
        <v>2.3.3 Recover</v>
      </c>
      <c r="D3" s="4" t="str">
        <v>AW2P13: Unknown center- develop at least 5 innovations for fragile and conflict-affected settings (FCAS), including technologies, approaches, tools, or delivery models designed to strengthen resilience, livelihoods, and food system outcomes.</v>
      </c>
      <c r="E3" s="4" t="str">
        <v>Number of innovations (innovation development)</v>
      </c>
      <c r="F3" s="4" t="str">
        <v>Kenya</v>
      </c>
      <c r="G3" s="5">
        <v>5</v>
      </c>
      <c r="H3" s="5">
        <v>0</v>
      </c>
      <c r="I3" s="4" t="str">
        <v/>
      </c>
      <c r="J3" s="4">
        <v>8090</v>
      </c>
    </row>
    <row r="4" ht="25" customHeight="1">
      <c r="C4" s="9" t="str">
        <v>HLO budget subtotal</v>
      </c>
      <c r="H4" s="9">
        <v>0</v>
      </c>
      <c r="J4" s="9" t="str">
        <v/>
      </c>
    </row>
  </sheetData>
  <mergeCells count="8">
    <mergeCell ref="A1:A2"/>
    <mergeCell ref="B1:B2"/>
    <mergeCell ref="C1:C2"/>
    <mergeCell ref="D1:H1"/>
    <mergeCell ref="I1:I2"/>
    <mergeCell ref="J1:J2"/>
    <mergeCell ref="C4:G4"/>
    <mergeCell ref="A3:A4"/>
  </mergeCells>
  <ignoredErrors>
    <ignoredError numberStoredAsText="1" sqref="A1:J4"/>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Unknown Center</v>
      </c>
      <c r="C2" s="4" t="str">
        <v>Discretionary funds</v>
      </c>
      <c r="D2" s="5">
        <v>360318</v>
      </c>
      <c r="E2" s="4" t="str" xml:space="preserve">
        <v xml:space="preserve">AoW1 &amp; AoW2 have earmarked funding for additional deliverables that are under development.
</v>
      </c>
      <c r="F2" s="4">
        <v>61</v>
      </c>
      <c r="G2" s="4">
        <v>7</v>
      </c>
    </row>
    <row r="3" ht="45" customHeight="1">
      <c r="A3" s="4" t="str">
        <v>AOW00: Cross Cutting</v>
      </c>
      <c r="B3" s="4" t="str">
        <v>Unknown Center</v>
      </c>
      <c r="C3" s="4" t="str">
        <v>Communication/Knowledge management</v>
      </c>
      <c r="D3" s="5">
        <v>25000</v>
      </c>
      <c r="E3" s="4" t="str">
        <v>$25K Costing: Covers budget to implement the communication plan, pay for publication fees (editing, design, open access), produce IEC materials like brochures and posters, create the 2026 Frontiers Impact video (filming, editing, voiceover) and hire a strategic communications consultant to guide the overall outreach work.</v>
      </c>
      <c r="F3" s="4">
        <v>253</v>
      </c>
      <c r="G3" s="4">
        <v>5</v>
      </c>
    </row>
    <row r="4" ht="45" customHeight="1">
      <c r="A4" s="4" t="str">
        <v>AOW00: Cross Cutting</v>
      </c>
      <c r="B4" s="4" t="str">
        <v>Unknown Center</v>
      </c>
      <c r="C4" s="4" t="str">
        <v>MELIA</v>
      </c>
      <c r="D4" s="5">
        <v>530878</v>
      </c>
      <c r="E4" s="4" t="str">
        <v>5% of each AoW budget is proposed to cover cross-cutting MELIA. The program is still discussing the modalities of how this will be operationalized, with one possibility being to hire a consultant for impact assessment and MELIA studies across all AoWs in 2026.</v>
      </c>
      <c r="F4" s="4">
        <v>254</v>
      </c>
      <c r="G4" s="4">
        <v>6</v>
      </c>
    </row>
    <row r="5" ht="25" customHeight="1">
      <c r="C5" s="9" t="str">
        <v>Cross-cutting budget subtotal</v>
      </c>
      <c r="D5" s="9">
        <v>916196</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445598</v>
      </c>
      <c r="C2" s="5">
        <v>0</v>
      </c>
      <c r="D2" s="5">
        <v>0</v>
      </c>
      <c r="E2" s="5">
        <v>0</v>
      </c>
      <c r="F2" s="5">
        <v>0</v>
      </c>
      <c r="G2" s="5">
        <f>=SUM(B2:F2)</f>
        <v>0</v>
      </c>
    </row>
    <row r="3" ht="20" customHeight="1">
      <c r="A3" s="4" t="str">
        <v>Operations (supplies, consultants, travels, workshops, other)</v>
      </c>
      <c r="B3" s="5">
        <v>470598</v>
      </c>
      <c r="C3" s="5">
        <v>0</v>
      </c>
      <c r="D3" s="5">
        <v>0</v>
      </c>
      <c r="E3" s="5">
        <v>0</v>
      </c>
      <c r="F3" s="5">
        <v>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sheetData>
  <ignoredErrors>
    <ignoredError numberStoredAsText="1" sqref="A1:E1"/>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Unknown Center</v>
      </c>
      <c r="C2" s="4" t="str">
        <v>Global</v>
      </c>
      <c r="D2" s="4" t="str">
        <v>global</v>
      </c>
      <c r="E2" s="5">
        <v>100</v>
      </c>
      <c r="F2" s="4">
        <v>1721</v>
      </c>
    </row>
  </sheetData>
  <mergeCells count="1">
    <mergeCell ref="A2"/>
  </mergeCells>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