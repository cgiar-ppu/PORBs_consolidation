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309303</v>
      </c>
      <c r="K4" s="5">
        <v>309303</v>
      </c>
      <c r="L4" s="5">
        <v>0</v>
      </c>
      <c r="M4" s="5">
        <v>0</v>
      </c>
      <c r="N4" s="4">
        <v>230</v>
      </c>
    </row>
    <row r="5" ht="20" customHeight="1">
      <c r="A5" s="4" t="str">
        <v>AOW01: Future Food Systems Lab</v>
      </c>
      <c r="B5" s="5">
        <v>0</v>
      </c>
      <c r="C5" s="5">
        <v>0</v>
      </c>
      <c r="D5" s="5">
        <v>10</v>
      </c>
      <c r="E5" s="5">
        <v>531674</v>
      </c>
      <c r="F5" s="5">
        <v>1460</v>
      </c>
      <c r="G5" s="5">
        <v>447086</v>
      </c>
      <c r="H5" s="5">
        <v>0</v>
      </c>
      <c r="I5" s="5">
        <v>0</v>
      </c>
      <c r="J5" s="5">
        <v>978760</v>
      </c>
      <c r="K5" s="5">
        <v>978760</v>
      </c>
      <c r="L5" s="5">
        <v>65000</v>
      </c>
      <c r="M5" s="5">
        <v>0</v>
      </c>
      <c r="N5" s="4">
        <v>226</v>
      </c>
    </row>
    <row r="6" ht="20" customHeight="1">
      <c r="A6" s="4" t="str">
        <v>AOW02: Fragile and Conflict-affected Food Systems</v>
      </c>
      <c r="B6" s="5">
        <v>9</v>
      </c>
      <c r="C6" s="5">
        <v>380673</v>
      </c>
      <c r="D6" s="5">
        <v>19</v>
      </c>
      <c r="E6" s="5">
        <v>738191</v>
      </c>
      <c r="F6" s="5">
        <v>680</v>
      </c>
      <c r="G6" s="5">
        <v>237885</v>
      </c>
      <c r="H6" s="5">
        <v>0</v>
      </c>
      <c r="I6" s="5">
        <v>0</v>
      </c>
      <c r="J6" s="5">
        <v>1356749</v>
      </c>
      <c r="K6" s="5">
        <v>1356749</v>
      </c>
      <c r="L6" s="5">
        <v>265000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2</v>
      </c>
      <c r="C8" s="5">
        <v>132990</v>
      </c>
      <c r="D8" s="5">
        <v>2</v>
      </c>
      <c r="E8" s="5">
        <v>101530</v>
      </c>
      <c r="F8" s="5">
        <v>0</v>
      </c>
      <c r="G8" s="5">
        <v>0</v>
      </c>
      <c r="H8" s="5">
        <v>0</v>
      </c>
      <c r="I8" s="5">
        <v>0</v>
      </c>
      <c r="J8" s="5">
        <v>234520</v>
      </c>
      <c r="K8" s="5">
        <v>234520</v>
      </c>
      <c r="L8" s="5">
        <v>0</v>
      </c>
      <c r="M8" s="5">
        <v>0</v>
      </c>
      <c r="N8" s="4">
        <v>229</v>
      </c>
    </row>
    <row r="9" ht="25" customHeight="1">
      <c r="A9" s="6" t="str">
        <v>Total</v>
      </c>
      <c r="B9" s="7" t="str">
        <v/>
      </c>
      <c r="C9" s="7">
        <v>513663</v>
      </c>
      <c r="D9" s="7" t="str">
        <v/>
      </c>
      <c r="E9" s="7">
        <v>1371395</v>
      </c>
      <c r="F9" s="7" t="str">
        <v/>
      </c>
      <c r="G9" s="7">
        <v>684971</v>
      </c>
      <c r="H9" s="7" t="str">
        <v/>
      </c>
      <c r="I9" s="7">
        <v>0</v>
      </c>
      <c r="J9" s="7">
        <v>2879332</v>
      </c>
      <c r="K9" s="7">
        <v>2879332</v>
      </c>
      <c r="L9" s="7">
        <v>330000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IWMI</v>
      </c>
      <c r="C3" s="4" t="str">
        <v>1.1.1 Envisioning Food System Futures</v>
      </c>
      <c r="D3" s="4" t="str">
        <v>AW1P5: CIRCLAB (Circularity Innovation Lab)- Critical Capability_IWMI: Analytical Toolkit and CIRCLAB (Circularity Innovation Lab) Roadmap for integrating CBE solutions into adaptation and investment strategies across food, land, and water systems in frontier food systems.</v>
      </c>
      <c r="E3" s="4" t="str">
        <v>Number of knowledge products</v>
      </c>
      <c r="F3" s="4" t="str">
        <v>Ghana, Solomon Islands, Ethiopia</v>
      </c>
      <c r="G3" s="5">
        <v>2</v>
      </c>
      <c r="H3" s="5">
        <v>119674</v>
      </c>
      <c r="I3" s="4" t="str">
        <v>Budget will support development of KP's through Strong engagement strategy and alignment with national agendas</v>
      </c>
      <c r="J3" s="4">
        <v>6860</v>
      </c>
    </row>
    <row r="4" ht="50" customHeight="1">
      <c r="B4" s="4" t="str">
        <v>IWMI</v>
      </c>
      <c r="D4" s="4" t="str">
        <v>Assessment report outlining results of envisioning needs in frontiers geographies</v>
      </c>
      <c r="E4" s="4" t="str">
        <v>Number of knowledge products</v>
      </c>
      <c r="F4" s="4" t="str">
        <v>Ghana, Solomon Islands</v>
      </c>
      <c r="G4" s="5">
        <v>1</v>
      </c>
      <c r="H4" s="5">
        <v>0</v>
      </c>
      <c r="I4" s="4" t="str">
        <v/>
      </c>
      <c r="J4" s="4">
        <v>7413</v>
      </c>
    </row>
    <row r="5" ht="50" customHeight="1">
      <c r="B5" s="4" t="str">
        <v>IWMI</v>
      </c>
      <c r="D5" s="4" t="str">
        <v>Number of people and organizations participating in the food system envisioning process</v>
      </c>
      <c r="E5" s="4" t="str">
        <v>Number of people trained (capacity sharing for development)</v>
      </c>
      <c r="F5" s="4" t="str">
        <v>Solomon Islands, Ghana</v>
      </c>
      <c r="G5" s="5">
        <v>100</v>
      </c>
      <c r="H5" s="5">
        <v>0</v>
      </c>
      <c r="I5" s="4" t="str">
        <v/>
      </c>
      <c r="J5" s="4">
        <v>7417</v>
      </c>
    </row>
    <row r="6" ht="50" customHeight="1">
      <c r="B6" s="4" t="str">
        <v>IWMI</v>
      </c>
      <c r="D6" s="4" t="str">
        <v>AW1P6: Convening and Knowledge-Sharing Platforms - Envisioning Needs Assessment and Prioritization: KPI Produce 1 knowledge product that systematically identifies priority geographies, stakeholder readiness, planning horizons, critical uncertainties, and criteria for selecting pilot sites for participatory envisioning in fragile, urban, and island food systems.</v>
      </c>
      <c r="E6" s="4" t="str">
        <v>Number of knowledge products</v>
      </c>
      <c r="F6" s="4" t="str">
        <v>Timor-Leste, Ghana</v>
      </c>
      <c r="G6" s="5">
        <v>1</v>
      </c>
      <c r="H6" s="5">
        <v>57000</v>
      </c>
      <c r="I6" s="4" t="str">
        <v>Costing covers staff time to assess where envisioning workshops add the most value in Timor-Leste and Ghana, plus operational budget for travel, stakeholder meetings, and producing the final assessment report.</v>
      </c>
      <c r="J6" s="4">
        <v>7693</v>
      </c>
    </row>
    <row r="7" ht="50" customHeight="1" xml:space="preserve">
      <c r="B7" s="4" t="str">
        <v>IWMI</v>
      </c>
      <c r="D7" s="4" t="str">
        <v>AW1P6: Convening and Knowledge-Sharing Platforms - Participatory Future Food System Envisioning Workshops: Multi-stakeholder envisioning workshops in 2 pilot contexts across frontier food systems using scenario planning, horizon scanning, and participatory foresight methods. Co-creates alternative future scenarios (2030-2040) with municipal authorities, humanitarian partners, and island governments. Produces scenario narratives, early warning indicators, and strategic response pathways tailored to each context's critical uncertainties.</v>
      </c>
      <c r="E7" s="4" t="str">
        <v>Number of people trained (capacity sharing for development)</v>
      </c>
      <c r="F7" s="4" t="str">
        <v>Ghana, Timor-Leste</v>
      </c>
      <c r="G7" s="5">
        <v>100</v>
      </c>
      <c r="H7" s="5">
        <v>98000</v>
      </c>
      <c r="I7" s="4" t="str" xml:space="preserve">
        <v xml:space="preserve">Costing covers staff time to plan and run participatory workshops in Ghana and Timor-Leste, plus operational budget for venue, travel, materials, and food for trainees, to train people in foresight methods and create future scenarios.
</v>
      </c>
      <c r="J7" s="4">
        <v>7694</v>
      </c>
    </row>
    <row r="8" ht="50" customHeight="1" xml:space="preserve">
      <c r="B8" s="4" t="str">
        <v>IWMI</v>
      </c>
      <c r="D8" s="4" t="str">
        <v>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v>
      </c>
      <c r="E8" s="4" t="str">
        <v>Number of knowledge products</v>
      </c>
      <c r="F8" s="4" t="str">
        <v>Papua New Guinea, Jordan, Ghana, Nigeria, Mali, Bangladesh, Kenya, Solomon Islands, Peru, Jamaica, Timor-Leste, Ethiopia, Mozambique, Philippines, Yemen, The Republic of the Sudan, Burkina Faso, Pakistan</v>
      </c>
      <c r="G8" s="5">
        <v>1</v>
      </c>
      <c r="H8" s="5">
        <v>35000</v>
      </c>
      <c r="I8" s="4" t="str" xml:space="preserve">
        <v xml:space="preserve">Costing covers staff time to co-develop and write the FCAS Operational Strategy with partners across 18 countries, plus operational budget for consultations, workshops, and producing the final knowledge product.
</v>
      </c>
      <c r="J8" s="4">
        <v>7709</v>
      </c>
    </row>
    <row r="9" ht="50" customHeight="1">
      <c r="B9" s="4" t="str">
        <v>IWMI</v>
      </c>
      <c r="D9"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9" s="4" t="str">
        <v>Number of knowledge products</v>
      </c>
      <c r="F9" s="4" t="str">
        <v>Somalia, Peru, Nigeria, Timor-Leste, Pakistan, The Republic of the Sudan, Philippines, Yemen, Kenya, Burkina Faso, Mozambique, Ethiopia, Jordan, Mali, Bangladesh, Solomon Islands, Ghana, Papua New Guinea, Jamaica</v>
      </c>
      <c r="G9" s="5">
        <v>1</v>
      </c>
      <c r="H9" s="5">
        <v>20000</v>
      </c>
      <c r="I9" s="4" t="str">
        <v>Costing covers staff time to co-develop and write the FCAS Operational Strategy with partners across 19 countries (including Somalia), plus operational budget for consultations, workshops, and producing the final knowledge product.</v>
      </c>
      <c r="J9" s="4">
        <v>7712</v>
      </c>
    </row>
    <row r="10" ht="50" customHeight="1">
      <c r="A10" s="4" t="str">
        <v>AOW01: Future Food Systems Lab</v>
      </c>
      <c r="B10" s="4" t="str">
        <v>IWMI</v>
      </c>
      <c r="C10" s="4" t="str">
        <v>1.2.2 Evidence Synthesis and Adaptive Learning</v>
      </c>
      <c r="D10" s="4" t="str">
        <v>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v>
      </c>
      <c r="E10" s="4" t="str">
        <v>Number of people trained (capacity sharing for development)</v>
      </c>
      <c r="F10" s="4" t="str">
        <v>Papua New Guinea, Yemen, The Republic of the Sudan, Jamaica, Jordan, Mozambique, Timor-Leste, Burkina Faso, Ghana, Kenya, Philippines, Bangladesh, Ethiopia, Solomon Islands, Peru, Nigeria, Somalia, Mali, Pakistan</v>
      </c>
      <c r="G10" s="5">
        <v>100</v>
      </c>
      <c r="H10" s="5">
        <v>50004</v>
      </c>
      <c r="I10" s="4" t="str">
        <v>Costing covers staff time to design, run, and host online sessions across all listed countries, plus operational budget for webinar platforms, facilitators, translation, and materials for peer-learning.</v>
      </c>
      <c r="J10" s="4">
        <v>6864</v>
      </c>
    </row>
    <row r="11" ht="50" customHeight="1">
      <c r="B11" s="4" t="str">
        <v>IWMI</v>
      </c>
      <c r="D11" s="4" t="str">
        <v>Number of people attending knowledge sharing events</v>
      </c>
      <c r="E11" s="4" t="str">
        <v>Number of people trained (capacity sharing for development)</v>
      </c>
      <c r="F11" s="4" t="str">
        <v>Mozambique, Pakistan, Yemen, Somalia, Papua New Guinea, Peru, Philippines, Bangladesh, Jamaica, Kenya, Solomon Islands, Jordan, Mali, The Republic of the Sudan, Ghana, Timor-Leste, Ethiopia, Burkina Faso, Nigeria</v>
      </c>
      <c r="G11" s="5">
        <v>500</v>
      </c>
      <c r="H11" s="5">
        <v>0</v>
      </c>
      <c r="I11" s="4" t="str">
        <v/>
      </c>
      <c r="J11" s="4">
        <v>7400</v>
      </c>
    </row>
    <row r="12" ht="50" customHeight="1">
      <c r="B12" s="4" t="str">
        <v>IWMI</v>
      </c>
      <c r="D12" s="4" t="str">
        <v>AW1P6: Convening and Knowledge-Sharing Platforms- KPI- Number of individuals trained through AoW-supported activities on evidence synthesis and adaptive learning, disaggregated by gender, age, and stakeholder group, with at least 70% demonstrating improved knowledge or skills by December 2026.</v>
      </c>
      <c r="E12" s="4" t="str">
        <v>Number of people trained (capacity sharing for development)</v>
      </c>
      <c r="F12" s="4" t="str">
        <v>Solomon Islands, Timor-Leste, Bangladesh, Jamaica, Nigeria, Ghana, Yemen, Jordan, Ethiopia, Peru, The Republic of the Sudan, Papua New Guinea, Burkina Faso, Kenya, Pakistan, Mozambique, Mali, Philippines, Somalia</v>
      </c>
      <c r="G12" s="5">
        <v>500</v>
      </c>
      <c r="H12" s="5">
        <v>99082</v>
      </c>
      <c r="I12" s="4" t="str">
        <v>Costing covers training of 200 people across 19 countries and help them adopt evidence from AoW, plus operational budget for travel, training venues, materials, and follow-up support.</v>
      </c>
      <c r="J12" s="4">
        <v>7403</v>
      </c>
    </row>
    <row r="13" ht="50" customHeight="1">
      <c r="B13" s="4" t="str">
        <v>IWMI</v>
      </c>
      <c r="D13" s="4" t="str">
        <v>Number of knowledge products, strategic plans, and innovation/investment priorities co-designed and shared with stakeholders and partners</v>
      </c>
      <c r="E13" s="4" t="str">
        <v>Number of knowledge products</v>
      </c>
      <c r="F13" s="4" t="str">
        <v>Mali, Bangladesh, Papua New Guinea, Mozambique, Jordan, Pakistan, Burkina Faso, Nigeria, Yemen, The Republic of the Sudan, Kenya, Timor-Leste, Somalia, Solomon Islands, Jamaica, Philippines, Ghana, Peru</v>
      </c>
      <c r="G13" s="5">
        <v>2</v>
      </c>
      <c r="H13" s="5">
        <v>50000</v>
      </c>
      <c r="I13" s="4" t="str">
        <v>covers work with partners across 18 countries to co-design two knowledge products, strategic plans, and investment priorities, plus operational budget for workshops, travel, and sharing materials.</v>
      </c>
      <c r="J13" s="4">
        <v>7410</v>
      </c>
    </row>
    <row r="14" ht="50" customHeight="1">
      <c r="B14" s="4" t="str">
        <v>IWMI</v>
      </c>
      <c r="D14" s="4" t="str">
        <v>AW1P6: Convening and Knowledge-Sharing Platforms - Regional and Global Convenings: Organize and participate in regional roundtables and high-level global summits to facilitate dialogue, knowledge exchange, and co-design of scalable solutions tailored to fragile, urban, and island food systems. Events will prioritize inclusion of women, youth, and marginalized groups as key participants and co-creators.</v>
      </c>
      <c r="E14" s="4" t="str">
        <v>Number of people trained (capacity sharing for development)</v>
      </c>
      <c r="F14" s="4" t="str">
        <v>Jamaica, Burkina Faso, Bangladesh, Solomon Islands, Mozambique, Pakistan, Ghana, Philippines, Mali, Peru, Kenya, Ethiopia, The Republic of the Sudan, Papua New Guinea, Nigeria, Somalia, Jordan, Timor-Leste</v>
      </c>
      <c r="G14" s="5">
        <v>200</v>
      </c>
      <c r="H14" s="5">
        <v>0</v>
      </c>
      <c r="I14" s="4" t="str">
        <v/>
      </c>
      <c r="J14" s="4">
        <v>7684</v>
      </c>
    </row>
    <row r="15" ht="50" customHeight="1">
      <c r="B15" s="4" t="str">
        <v>IWMI</v>
      </c>
      <c r="D15" s="4" t="str">
        <v>AW1P6: Convening and Knowledge-Sharing Platforms - Frontlines Learning Exchange (FLEX) Series: 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v>
      </c>
      <c r="E15" s="4" t="str">
        <v>Number of people trained (capacity sharing for development)</v>
      </c>
      <c r="F15" s="4" t="str">
        <v>Burkina Faso, Peru, Mali, Jamaica, Papua New Guinea, Nigeria, Ethiopia, Bangladesh, Ghana, Solomon Islands, Somalia, The Republic of the Sudan, Philippines, Jordan, Yemen, Timor-Leste, Pakistan, Mozambique</v>
      </c>
      <c r="G15" s="5">
        <v>100</v>
      </c>
      <c r="H15" s="5">
        <v>0</v>
      </c>
      <c r="I15" s="4" t="str">
        <v/>
      </c>
      <c r="J15" s="4">
        <v>7685</v>
      </c>
    </row>
    <row r="16" ht="50" customHeight="1">
      <c r="B16" s="4" t="str">
        <v>IWMI</v>
      </c>
      <c r="D16" s="4" t="str">
        <v>AW1P6: Convening and Knowledge-Sharing Platforms - KPI- Organize and participate in at least 2 regional roundtables and 1 global summit to facilitate dialogue, knowledge exchange, and co-design of scalable solutions for fragile, urban, and island food systems, ensuring at least 40% participation of women, youth, and marginalized groups.</v>
      </c>
      <c r="E16" s="4" t="str">
        <v>Number of people trained (capacity sharing for development)</v>
      </c>
      <c r="F16" s="4" t="str">
        <v>Mali, Timor-Leste, Yemen, Bangladesh, Jamaica, Jordan, Peru, Solomon Islands, Kenya, Ethiopia, Pakistan, Philippines, Papua New Guinea, Nigeria, Somalia, Mozambique, Ghana, Burkina Faso</v>
      </c>
      <c r="G16" s="5">
        <v>200</v>
      </c>
      <c r="H16" s="5">
        <v>0</v>
      </c>
      <c r="I16" s="4" t="str">
        <v/>
      </c>
      <c r="J16" s="4">
        <v>7687</v>
      </c>
    </row>
    <row r="17" ht="50" customHeight="1">
      <c r="B17" s="4" t="str">
        <v>IWMI</v>
      </c>
      <c r="D17" s="4" t="str">
        <v>AW1P6: Convening and Knowledge-Sharing Platforms- Knowledge Brokerage and Synthesis Reports: Produce synthesis reports and policy briefs that distill comparative lessons, innovations, and evidence from frontier contexts. Disseminate these outputs to inform global agendas, investment priorities, and post-SDG food systems discourse.</v>
      </c>
      <c r="E17" s="4" t="str">
        <v>Number of knowledge products</v>
      </c>
      <c r="F17" s="4" t="str">
        <v>Jordan, Jamaica, Bangladesh, Timor-Leste, Burkina Faso, Pakistan, Kenya, Ethiopia, Mali, Somalia, Philippines, Nigeria, Yemen, Ghana, Mozambique, Solomon Islands, Papua New Guinea, The Republic of the Sudan, Peru</v>
      </c>
      <c r="G17" s="5">
        <v>2</v>
      </c>
      <c r="H17" s="5">
        <v>0</v>
      </c>
      <c r="I17" s="4" t="str">
        <v/>
      </c>
      <c r="J17" s="4">
        <v>7692</v>
      </c>
    </row>
    <row r="18" ht="50" customHeight="1">
      <c r="B18" s="4" t="str">
        <v>IWMI</v>
      </c>
      <c r="D18" s="4" t="str">
        <v>AW1P11: BSF Scaling Pathways- KPI- Number of knowledge products, strategic plans, and innovation/investment priorities co-designed and shared with stakeholders and partners</v>
      </c>
      <c r="E18" s="4" t="str">
        <v>Number of knowledge products</v>
      </c>
      <c r="F18" s="4" t="str">
        <v>Kenya</v>
      </c>
      <c r="G18" s="5">
        <v>1</v>
      </c>
      <c r="H18" s="5">
        <v>130000</v>
      </c>
      <c r="I18" s="4" t="str">
        <v>This budget will engage the partner as the primary expense, with staff and operational costs making up the remainder. Partners will work with the lead on technical input, co-design of the knowledge product, and stakeholder facilitation</v>
      </c>
      <c r="J18" s="4">
        <v>8340</v>
      </c>
    </row>
    <row r="19" ht="50" customHeight="1">
      <c r="B19" s="4" t="str">
        <v>IWMI</v>
      </c>
      <c r="D19" s="4" t="str">
        <v>AW1P11: BSF Scaling Pathways- KPI- Number of knowledge products, strategic plans, and innovation/investment priorities co-designed and shared with stakeholders and partners</v>
      </c>
      <c r="E19" s="4" t="str">
        <v>Number of knowledge products</v>
      </c>
      <c r="F19" s="4" t="str">
        <v>Kenya</v>
      </c>
      <c r="G19" s="5">
        <v>2</v>
      </c>
      <c r="H19" s="5">
        <v>120000</v>
      </c>
      <c r="I19" s="4" t="str">
        <v>This budget covers co-design, viability assessment, and scaling pathway development for at least two BSF business models. Operations support data collection, stakeholder workshops, and production of the two knowledge products.</v>
      </c>
      <c r="J19" s="4">
        <v>8341</v>
      </c>
    </row>
    <row r="20" ht="50" customHeight="1">
      <c r="B20" s="4" t="str">
        <v>IWMI</v>
      </c>
      <c r="D20" s="4" t="str">
        <v>AW1P11: BSF Scaling Pathways- KPI- Number of innovators, entrepreneurs, public sector actors and school students receiving training to develop, scale and utilize innovations for resource-constrained food systems</v>
      </c>
      <c r="E20" s="4" t="str">
        <v>Number of people trained (capacity sharing for development)</v>
      </c>
      <c r="F20" s="4" t="str">
        <v>Kenya</v>
      </c>
      <c r="G20" s="5">
        <v>50</v>
      </c>
      <c r="H20" s="5">
        <v>50000</v>
      </c>
      <c r="I20" s="4" t="str">
        <v xml:space="preserve"> training for 50 youth, entrepreneurs, and public/private sector actors.</v>
      </c>
      <c r="J20" s="4">
        <v>8342</v>
      </c>
    </row>
    <row r="21" ht="50" customHeight="1">
      <c r="A21" s="4" t="str">
        <v>AOW01: Future Food Systems Lab</v>
      </c>
      <c r="B21" s="4" t="str">
        <v>IWMI</v>
      </c>
      <c r="C21" s="4" t="str">
        <v>1.3.3 Entrepreneurship Support Program</v>
      </c>
      <c r="D21" s="4" t="str">
        <v>AW1P4: CBE Scaling Pathways in Frontiers- Circular Bioeconomy Innovation Hub (CBE Hub): Delivers targeted capacity-building and enterprise support programmes for school children, youth, entrepreneurs, and public and private sector actors, equipping them with the technical, business, and innovation skills needed to develop, adopt, and scale circular solutions. Through the Resource Recovery and Reuse for Schools &amp; Youth Programme, the Hub engages school children through hands-on learning, school-based circular economy clubs, and practical resource recovery activities that build awareness, skills, and early innovation mindsets. Complemented by CBE Practice Lab trainings for youth and entrepreneurs, the Hub strengthens practical competencies, nurtures entrepreneurship, and creates pathways for wider uptake of circular innovations and local enterprise growth.</v>
      </c>
      <c r="E21" s="4" t="str">
        <v>Number of people trained (capacity sharing for development)</v>
      </c>
      <c r="F21" s="4" t="str">
        <v>Ghana</v>
      </c>
      <c r="G21" s="5">
        <v>700</v>
      </c>
      <c r="H21" s="5">
        <v>75000</v>
      </c>
      <c r="I21" s="4" t="str">
        <v>Budget for Training 700 people</v>
      </c>
      <c r="J21" s="4">
        <v>7705</v>
      </c>
    </row>
    <row r="22" ht="50" customHeight="1">
      <c r="B22" s="4" t="str">
        <v>IWMI</v>
      </c>
      <c r="D22" s="4" t="str">
        <v>CBE Innovation Challenge: Identify, mentor, and accelerate at least 10 youth-led startups, SMEs, and innovators in Ghana through the CircularEconomy4Ghana program, supporting the development and scaling of waste-to-value solutions for frontier food systems.</v>
      </c>
      <c r="E22" s="4" t="str">
        <v>Number of people trained (capacity sharing for development)</v>
      </c>
      <c r="F22" s="4" t="str">
        <v>Ghana</v>
      </c>
      <c r="G22" s="5">
        <v>10</v>
      </c>
      <c r="H22" s="5">
        <v>75000</v>
      </c>
      <c r="I22" s="4" t="str">
        <v>Costing covers staff time to assess where envisioning workshops add the most value in Timor-Leste and Ghana, plus operational budget for travel, stakeholder meetings, and producing the final assessment report.</v>
      </c>
      <c r="J22" s="4">
        <v>7706</v>
      </c>
    </row>
    <row r="23" ht="25" customHeight="1">
      <c r="C23" s="9" t="str">
        <v>HLO budget subtotal</v>
      </c>
      <c r="H23" s="9">
        <v>978760</v>
      </c>
      <c r="J23" s="9" t="str">
        <v/>
      </c>
    </row>
    <row r="24" ht="50" customHeight="1">
      <c r="A24" s="8" t="str">
        <v>AOW02: Fragile and Conflict-affected Food Systems</v>
      </c>
      <c r="B24" s="4" t="str">
        <v>IWMI</v>
      </c>
      <c r="C24" s="4" t="str">
        <v>2.1.1 Prevent</v>
      </c>
      <c r="D24" s="4" t="str">
        <v>RENEW. Capacity Building on Nature-Based and Climate-Smart Livelihoods: Capacity Building on Nature-Based and Climate-Smart Livelihoods: Develop the training materials (manuals); train 300 women and youth in climate-smart agriculture, eco-restoration, and leadership for inclusive agricultural water management and ecosystem restoration efforts in northeast Nigeria, Adamawa state, leading to locally led climate adaptation actions, livelihood enhancement, and sustainability of natural resources. The training will be aligned with an NBS intervention to promote the sustainability of that intervention.</v>
      </c>
      <c r="E24" s="4" t="str">
        <v>Number of knowledge products</v>
      </c>
      <c r="F24" s="4" t="str">
        <v>Bangladesh, Nigeria, The Republic of the Sudan</v>
      </c>
      <c r="G24" s="5">
        <v>3</v>
      </c>
      <c r="H24" s="5">
        <v>97021</v>
      </c>
      <c r="I24" s="4" t="str">
        <v>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v>
      </c>
      <c r="J24" s="4">
        <v>6885</v>
      </c>
    </row>
    <row r="25" ht="50" customHeight="1">
      <c r="A25" s="4" t="str">
        <v>AOW02: Fragile and Conflict-affected Food Systems</v>
      </c>
      <c r="B25" s="4" t="str">
        <v>IWMI</v>
      </c>
      <c r="C25" s="4" t="str">
        <v>2.2.2 Respond</v>
      </c>
      <c r="D25" s="4" t="str">
        <v>RENEW. Publish 1 analytical report on the economic performance and scaling potential of selected Nature-Based Solutions (NBS), providing decision-support evidence for policymakers and investors.</v>
      </c>
      <c r="E25" s="4" t="str">
        <v>Number of knowledge products</v>
      </c>
      <c r="F25" s="4" t="str">
        <v>Mali, Mozambique, Burkina Faso, Jordan, Kenya, Nigeria, Philippines, Bangladesh, Pakistan</v>
      </c>
      <c r="G25" s="5">
        <v>1</v>
      </c>
      <c r="H25" s="5">
        <v>179365</v>
      </c>
      <c r="I25" s="4" t="str">
        <v>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v>
      </c>
      <c r="J25" s="4">
        <v>6893</v>
      </c>
    </row>
    <row r="26" ht="50" customHeight="1">
      <c r="B26" s="4" t="str">
        <v>IWMI</v>
      </c>
      <c r="D26" s="4" t="str">
        <v>AW2P12 Food Systems Under Siege - Gaza- Assessment of food system constraints, livelihood challenges, and resource bottlenecks in Gaza, identifying entry points for circular bioeconomy (CBE) interventions. The work will also assess the feasibility and practical “how” of implementing priority CBE options under crisis conditions, including delivery mechanisms, resource requirements, and locally appropriate implementation modalities.</v>
      </c>
      <c r="E26" s="4" t="str">
        <v>Number of innovations (innovation development)</v>
      </c>
      <c r="F26" s="4" t="str">
        <v>State of Palestine</v>
      </c>
      <c r="G26" s="5">
        <v>2</v>
      </c>
      <c r="H26" s="5">
        <v>160000</v>
      </c>
      <c r="I26" s="4" t="str">
        <v>Number of CBE models assessed with clear implmentation plan</v>
      </c>
      <c r="J26" s="4">
        <v>7622</v>
      </c>
    </row>
    <row r="27" ht="50" customHeight="1">
      <c r="B27" s="4" t="str">
        <v>IWMI</v>
      </c>
      <c r="D27" s="4" t="str">
        <v>AW2P7: RENEW: Resilient Nature-Based Water Solutions for Food Systems and Women’s Empowerment -Test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v>
      </c>
      <c r="E27" s="4" t="str">
        <v>Number of knowledge products</v>
      </c>
      <c r="F27" s="4" t="str">
        <v>Mali, The Republic of the Sudan, Nigeria, Kenya, Mozambique, Bangladesh, Pakistan, Philippines, Burkina Faso, Jordan</v>
      </c>
      <c r="G27" s="5">
        <v>1</v>
      </c>
      <c r="H27" s="5">
        <v>0</v>
      </c>
      <c r="I27" s="4" t="str">
        <v/>
      </c>
      <c r="J27" s="4">
        <v>7680</v>
      </c>
    </row>
    <row r="28" ht="50" customHeight="1">
      <c r="B28" s="4" t="str">
        <v>IWMI</v>
      </c>
      <c r="D28" s="4" t="str">
        <v>AW2P12 Food Systems Under Siege - Gaza- Assessment of livestock feed systems within Gaza’s crisis-affected context, examining feed availability, supply constraints, and livestock livelihood vulnerabilities, and identifying entry points to stabilize feed availability and basic animal health.</v>
      </c>
      <c r="E28" s="4" t="str">
        <v>Number of innovations (innovation development)</v>
      </c>
      <c r="F28" s="4" t="str">
        <v>State of Palestine</v>
      </c>
      <c r="G28" s="5">
        <v>2</v>
      </c>
      <c r="H28" s="5">
        <v>0</v>
      </c>
      <c r="I28" s="4" t="str">
        <v/>
      </c>
      <c r="J28" s="4">
        <v>7852</v>
      </c>
    </row>
    <row r="29" ht="50" customHeight="1">
      <c r="A29" s="4" t="str">
        <v>AOW02: Fragile and Conflict-affected Food Systems</v>
      </c>
      <c r="B29" s="4" t="str">
        <v>IWMI</v>
      </c>
      <c r="C29" s="4" t="str">
        <v>2.3.3 Recover</v>
      </c>
      <c r="D29" s="4" t="str">
        <v>AW2P6: Nature Positive Solutions for Livelihoods and Peacebuilding- Knowledge, policy and scaling pathway for circular livelihood models and conflict-sensitivity guidance note in refugee hosting landscapes</v>
      </c>
      <c r="E29" s="4" t="str">
        <v>Number of knowledge products</v>
      </c>
      <c r="F29" s="4" t="str">
        <v>Ethiopia, Burkina Faso, Kenya, The Republic of the Sudan</v>
      </c>
      <c r="G29" s="5">
        <v>2</v>
      </c>
      <c r="H29" s="5">
        <v>58192</v>
      </c>
      <c r="I29" s="4" t="str">
        <v>Costing covers staff time to develop two policy briefs (one on knowledge and scaling pathways for circular livelihood models, and one on conflict-sensitivity guidance) in refugee hosting landscapes, plus operational budget for stakeholder consultations, field visits, translation, and dissemination to policymakers and humanitarian partners.</v>
      </c>
      <c r="J29" s="4">
        <v>6895</v>
      </c>
    </row>
    <row r="30" ht="50" customHeight="1" xml:space="preserve">
      <c r="B30" s="4" t="str">
        <v>IWMI</v>
      </c>
      <c r="D30" s="4" t="str">
        <v>AW2P6: Nature Positive Solutions for Livelihoods and Peacebuilding- Co-design inclusive and sustainable circular livelihood models that enhance social cohesion</v>
      </c>
      <c r="E30" s="4" t="str">
        <v>Number of innovations (innovation development)</v>
      </c>
      <c r="F30" s="4" t="str">
        <v>Ghana, Ethiopia, Kenya</v>
      </c>
      <c r="G30" s="5">
        <v>6</v>
      </c>
      <c r="H30" s="5">
        <v>160673</v>
      </c>
      <c r="I30" s="4" t="str" xml:space="preserve">
        <v xml:space="preserve">Costing covers staff time to facilitate co-design workshops and stakeholder consultations with local communities, plus operational budget for travel, materials, translation, and follow-up meetings across target locations, to develop six inclusive and sustainable circular livelihood business models that enhance social cohesion.
</v>
      </c>
      <c r="J30" s="4">
        <v>6896</v>
      </c>
    </row>
    <row r="31" ht="50" customHeight="1">
      <c r="B31" s="4" t="str">
        <v>IWMI</v>
      </c>
      <c r="D31" s="4" t="str">
        <v>AW2P6: Nature Positive Solutions for Livelihoods and Peacebuilding- Train at least 600 refugees, host community members, and humanitarian actors in conflict-sensitive circular bioeconomy solutions, strengthening capacity for sustainable livelihoods and social cohesion.</v>
      </c>
      <c r="E31" s="4" t="str">
        <v>Number of people trained (capacity sharing for development)</v>
      </c>
      <c r="F31" s="4" t="str">
        <v>The Republic of the Sudan, Kenya, Ethiopia, Burkina Faso</v>
      </c>
      <c r="G31" s="5">
        <v>600</v>
      </c>
      <c r="H31" s="5">
        <v>203030</v>
      </c>
      <c r="I31" s="4" t="str">
        <v>Costing covers staff time to design and deliver conflict-sensitive training on circular bioeconomy solutions for 600 refugees, host community members, and humanitarian actors across Sudan, Kenya, Ethiopia, and Burkina Faso, plus operational budget for training venues, travel, materials, translation, and participant support (such as meals or stipends).</v>
      </c>
      <c r="J31" s="4">
        <v>6897</v>
      </c>
    </row>
    <row r="32" ht="50" customHeight="1">
      <c r="B32" s="4" t="str">
        <v>IWMI</v>
      </c>
      <c r="D32" s="4" t="str">
        <v xml:space="preserve">RENEW. Policy Engagement and Scaling Roadmap: Produce and disseminate 4 policy brief that synthesizes evidence on Nature-Based Solutions (NBS) and provides actionable recommendations and an investment guide to support scaling and sustainability among government and non-government stakeholders. </v>
      </c>
      <c r="E32" s="4" t="str">
        <v>Number of knowledge products</v>
      </c>
      <c r="F32" s="4" t="str">
        <v>The Republic of the Sudan, Bangladesh, Nigeria</v>
      </c>
      <c r="G32" s="5">
        <v>4</v>
      </c>
      <c r="H32" s="5">
        <v>113822</v>
      </c>
      <c r="I32" s="4" t="str">
        <v>Costing covers staff time to engage government and non-government stakeholders, develop a policy brief, and create a scaling roadmap for nature-based solutions, plus operational budget for stakeholder meetings, dissemination events, and production of the policy brief and investment guide.</v>
      </c>
      <c r="J32" s="4">
        <v>6898</v>
      </c>
    </row>
    <row r="33" ht="50" customHeight="1">
      <c r="B33" s="4" t="str">
        <v>IWMI</v>
      </c>
      <c r="D33" s="4" t="str">
        <v>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v>
      </c>
      <c r="E33" s="4" t="str">
        <v>Number of knowledge products</v>
      </c>
      <c r="F33" s="4" t="str">
        <v>Bangladesh, Nigeria, The Republic of the Sudan</v>
      </c>
      <c r="G33" s="5">
        <v>4</v>
      </c>
      <c r="H33" s="5">
        <v>149791</v>
      </c>
      <c r="I33" s="4" t="str">
        <v>Costing covers staff time to develop guidance models and a Peace-Responsive RNBWS Toolkit across Bangladesh, Nigeria, and Sudan, plus operational budget for field testing, stakeholder workshops, translation, and design, to produce four knowledge products that integrate gender equity, conflict sensitivity, and resilience into nature-based water solutions.</v>
      </c>
      <c r="J33" s="4">
        <v>6900</v>
      </c>
    </row>
    <row r="34" ht="50" customHeight="1">
      <c r="B34" s="4" t="str">
        <v>IWMI</v>
      </c>
      <c r="D34" s="4" t="str">
        <v>AW2P11 Fragile and Conflict-affected Food Systems- Capacity strengthening of implementing partners, humanitarian actors and refugees and host communities in aquaponics as a nutrition and livelihood resilience model (Ethiopia, Kenya, Ghana)</v>
      </c>
      <c r="E34" s="4" t="str">
        <v>Number of people trained (capacity sharing for development)</v>
      </c>
      <c r="F34" s="4" t="str">
        <v>Ethiopia, Ghana, Kenya</v>
      </c>
      <c r="G34" s="5">
        <v>80</v>
      </c>
      <c r="H34" s="5">
        <v>34855</v>
      </c>
      <c r="I34" s="4" t="str">
        <v>Deliverable 1 (Training 80 people in aquaponics across Ethiopia, Ghana, Kenya): Costing covers staff time to prepare and deliver training for implementing partners, humanitarian actors, refugees, and host communities, plus operational budget for travel, training venues, materials, translation, and participant support (meals or stipends).</v>
      </c>
      <c r="J34" s="4">
        <v>7615</v>
      </c>
    </row>
    <row r="35" ht="50" customHeight="1">
      <c r="B35" s="4" t="str">
        <v>IWMI</v>
      </c>
      <c r="D35" s="4" t="str">
        <v>AW2P11 Fragile and Conflict-affected Food Systems- Conduct a MELIA study assessing the uptake of circular innovations and practices among trained refugee and host community households and humanitarian actors, identifying key facilitators and barriers to adoption as part of resilience and livelihood strategies.</v>
      </c>
      <c r="E35" s="4" t="str">
        <v>Number of knowledge products</v>
      </c>
      <c r="F35" s="4" t="str">
        <v>Ghana, Ethiopia, Kenya</v>
      </c>
      <c r="G35" s="5">
        <v>1</v>
      </c>
      <c r="H35" s="5">
        <v>30000</v>
      </c>
      <c r="I35" s="4" t="str">
        <v>Deliverable 2 (MELIA study on adoption of circular innovations in Ethiopia, Ghana, Kenya): Costing covers staff time to assess whether trained households and humanitarian actors have adopted aquaponics as a livelihood strategy, plus operational budget for surveys, focus groups, and data analysis, and staff time to produce the final knowledge product identifying barriers and facilitators to adoption</v>
      </c>
      <c r="J35" s="4">
        <v>7616</v>
      </c>
    </row>
    <row r="36" ht="50" customHeight="1">
      <c r="B36" s="4" t="str">
        <v>IWMI</v>
      </c>
      <c r="D36" s="4" t="str">
        <v>AW2P11 Fragile and Conflict-affected Food Systems- KPI- Develop and disseminate 1 foresight and decision-support product assessing wastewater treatment infrastructure capacity in Syria, including spatial analysis of damaged facilities, wastewater generation, treatment capacity, and priority investment areas to support agricultural water reuse planning and policy decisions.</v>
      </c>
      <c r="E36" s="4" t="str">
        <v>Number of innovations (innovation development)</v>
      </c>
      <c r="F36" s="4" t="str">
        <v>Syrian Arab Republic</v>
      </c>
      <c r="G36" s="5">
        <v>1</v>
      </c>
      <c r="H36" s="5">
        <v>60000</v>
      </c>
      <c r="I36" s="4" t="str">
        <v>Budget will support operational and staffing to deliver on the POD KPI</v>
      </c>
      <c r="J36" s="4">
        <v>8345</v>
      </c>
    </row>
    <row r="37" ht="50" customHeight="1">
      <c r="B37" s="4" t="str">
        <v>IWMI</v>
      </c>
      <c r="D37" s="4" t="str">
        <v>AW2P11 Fragile and Conflict-affected Food Systems: KPI- Deliver 1 integrated agricultural intelligence product for priority recovery zones in Syria, generating evidence on crop suitability, yield gaps, water productivity, and management options to guide agricultural investment and rehabilitation decisions</v>
      </c>
      <c r="E37" s="4" t="str">
        <v>Number of knowledge products</v>
      </c>
      <c r="F37" s="4" t="str">
        <v>Syrian Arab Republic</v>
      </c>
      <c r="G37" s="5">
        <v>4</v>
      </c>
      <c r="H37" s="5">
        <v>110000</v>
      </c>
      <c r="I37" s="4" t="str">
        <v>Budget will support operational and staffing to deliver on the POD KPI</v>
      </c>
      <c r="J37" s="4">
        <v>8347</v>
      </c>
    </row>
    <row r="38" ht="25" customHeight="1">
      <c r="C38" s="9" t="str">
        <v>HLO budget subtotal</v>
      </c>
      <c r="H38" s="9">
        <v>1356749</v>
      </c>
      <c r="J38" s="9" t="str">
        <v/>
      </c>
    </row>
    <row r="39" ht="50" customHeight="1">
      <c r="A39" s="8" t="str">
        <v>AOW04: Island Food Systems</v>
      </c>
      <c r="B39" s="4" t="str">
        <v>IWMI</v>
      </c>
      <c r="C39" s="4" t="str">
        <v>4.1.1 SUSTAINABILITY</v>
      </c>
      <c r="D39" s="4" t="str">
        <v xml:space="preserve"> AW4P2. Sustainable and resilient productio- Co-design context-specific, gender-responsive circular economy innovations with island communities and partners through living-lab workshops. Combine scientific and local knowledge to prepare prototyping, piloting and identifying scaling pathways.</v>
      </c>
      <c r="E39" s="4" t="str">
        <v>Number of innovations (innovation development)</v>
      </c>
      <c r="F39" s="4" t="str">
        <v>Solomon Islands, Timor-Leste</v>
      </c>
      <c r="G39" s="5">
        <v>2</v>
      </c>
      <c r="H39" s="5">
        <v>132990</v>
      </c>
      <c r="I39" s="4" t="str">
        <v>Budget for Co-designing Circular Economy Innovations</v>
      </c>
      <c r="J39" s="4">
        <v>6912</v>
      </c>
    </row>
    <row r="40" ht="50" customHeight="1">
      <c r="B40" s="4" t="str">
        <v>IWMI</v>
      </c>
      <c r="D40" s="4" t="str">
        <v xml:space="preserve">AW4P2. Sustainable and resilient production -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E40" s="4" t="str">
        <v>Number of knowledge products</v>
      </c>
      <c r="F40" s="4" t="str">
        <v>Solomon Islands, Timor-Leste</v>
      </c>
      <c r="G40" s="5">
        <v>2</v>
      </c>
      <c r="H40" s="5">
        <v>0</v>
      </c>
      <c r="I40" s="4" t="str">
        <v/>
      </c>
      <c r="J40" s="4">
        <v>6913</v>
      </c>
    </row>
    <row r="41" ht="50" customHeight="1">
      <c r="B41" s="4" t="str">
        <v>IWMI</v>
      </c>
      <c r="D41" s="4" t="str">
        <v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E41" s="4" t="str">
        <v>Number of knowledge products</v>
      </c>
      <c r="F41" s="4" t="str">
        <v>Timor-Leste, Solomon Islands, Papua New Guinea</v>
      </c>
      <c r="G41" s="5">
        <v>2</v>
      </c>
      <c r="H41" s="5">
        <v>101530</v>
      </c>
      <c r="I41" s="4" t="str">
        <v>Budget for Circular Solution Scoping and Participatory Assessments</v>
      </c>
      <c r="J41" s="4">
        <v>7763</v>
      </c>
    </row>
    <row r="42" ht="50" customHeight="1">
      <c r="A42" s="4" t="str">
        <v>AOW04: Island Food Systems</v>
      </c>
      <c r="B42" s="4" t="str">
        <v>IWMI</v>
      </c>
      <c r="C42" s="4" t="str">
        <v>4.1.4 CAPACITY</v>
      </c>
      <c r="D42" s="4" t="str">
        <v xml:space="preserve">AW4P1: Sustainable Food Production- Circular Solution Scoping and Participatory Assessments: 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v>
      </c>
      <c r="E42" s="4" t="str">
        <v>Number of knowledge products</v>
      </c>
      <c r="F42" s="4" t="str">
        <v>Timor-Leste, Solomon Islands, Papua New Guinea</v>
      </c>
      <c r="G42" s="5">
        <v>2</v>
      </c>
      <c r="H42" s="5">
        <v>0</v>
      </c>
      <c r="I42" s="4" t="str">
        <v/>
      </c>
      <c r="J42" s="4">
        <v>8266</v>
      </c>
    </row>
    <row r="43" ht="25" customHeight="1">
      <c r="C43" s="9" t="str">
        <v>HLO budget subtotal</v>
      </c>
      <c r="H43" s="9">
        <v>234520</v>
      </c>
      <c r="J43" s="9" t="str">
        <v/>
      </c>
    </row>
  </sheetData>
  <mergeCells count="18">
    <mergeCell ref="A1:A2"/>
    <mergeCell ref="B1:B2"/>
    <mergeCell ref="C1:C2"/>
    <mergeCell ref="D1:H1"/>
    <mergeCell ref="I1:I2"/>
    <mergeCell ref="J1:J2"/>
    <mergeCell ref="C3:C9"/>
    <mergeCell ref="C10:C20"/>
    <mergeCell ref="C21:C22"/>
    <mergeCell ref="C23:G23"/>
    <mergeCell ref="A3:A23"/>
    <mergeCell ref="C25:C28"/>
    <mergeCell ref="C29:C37"/>
    <mergeCell ref="C38:G38"/>
    <mergeCell ref="A24:A38"/>
    <mergeCell ref="C39:C41"/>
    <mergeCell ref="C43:G43"/>
    <mergeCell ref="A39:A43"/>
  </mergeCells>
  <ignoredErrors>
    <ignoredError numberStoredAsText="1" sqref="A1:J43"/>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Future Food Systems Lab</v>
      </c>
      <c r="B2" s="4" t="str">
        <v>Zehunger solutions</v>
      </c>
      <c r="C2" s="4" t="str">
        <v>IWMI</v>
      </c>
      <c r="D2" s="4" t="str">
        <v>Kenya</v>
      </c>
      <c r="E2" s="5">
        <v>65000</v>
      </c>
      <c r="F2" s="4" t="str">
        <v>Partner will support delivery on FCAS PoD</v>
      </c>
      <c r="G2" s="4">
        <v>568</v>
      </c>
    </row>
    <row r="3" ht="25" customHeight="1">
      <c r="B3" s="9" t="str">
        <v>Contracted partners subtotal</v>
      </c>
      <c r="E3" s="9">
        <v>65000</v>
      </c>
      <c r="F3" s="9" t="str">
        <v/>
      </c>
      <c r="G3" s="9" t="str">
        <v/>
      </c>
    </row>
    <row r="4" ht="50" customHeight="1">
      <c r="A4" s="8" t="str">
        <v>AOW02: Fragile and Conflict-affected Food Systems</v>
      </c>
      <c r="B4" s="4" t="str">
        <v>Infrastructure Development Company Limited</v>
      </c>
      <c r="C4" s="4" t="str">
        <v>IWMI</v>
      </c>
      <c r="D4" s="4" t="str">
        <v>Bangladesh</v>
      </c>
      <c r="E4" s="5">
        <v>20000</v>
      </c>
      <c r="F4" s="4" t="str">
        <v>tbc</v>
      </c>
      <c r="G4" s="4">
        <v>168</v>
      </c>
    </row>
    <row r="5" ht="50" customHeight="1">
      <c r="A5" s="4" t="str">
        <v>AOW02: Fragile and Conflict-affected Food Systems</v>
      </c>
      <c r="B5" s="4" t="str">
        <v>26c Daraja</v>
      </c>
      <c r="C5" s="4" t="str">
        <v>IWMI</v>
      </c>
      <c r="D5" s="4" t="str">
        <v>The Republic of the Sudan</v>
      </c>
      <c r="E5" s="5">
        <v>30000</v>
      </c>
      <c r="F5" s="4" t="str">
        <v>TBC</v>
      </c>
      <c r="G5" s="4">
        <v>169</v>
      </c>
    </row>
    <row r="6" ht="50" customHeight="1">
      <c r="A6" s="4" t="str">
        <v>AOW02: Fragile and Conflict-affected Food Systems</v>
      </c>
      <c r="B6" s="4" t="str">
        <v>Center for International Forestry Research (CIFOR) and World Agroforestry (ICRAF)</v>
      </c>
      <c r="C6" s="4" t="str">
        <v>IWMI</v>
      </c>
      <c r="D6" s="4" t="str">
        <v>Kenya, Ethiopia</v>
      </c>
      <c r="E6" s="5">
        <v>80000</v>
      </c>
      <c r="F6" s="4" t="str">
        <v>tbc</v>
      </c>
      <c r="G6" s="4">
        <v>170</v>
      </c>
    </row>
    <row r="7" ht="50" customHeight="1">
      <c r="A7" s="4" t="str">
        <v>AOW02: Fragile and Conflict-affected Food Systems</v>
      </c>
      <c r="B7" s="4" t="str">
        <v>Norwegian Church Aid</v>
      </c>
      <c r="C7" s="4" t="str">
        <v>IWMI</v>
      </c>
      <c r="D7" s="4" t="str">
        <v>Ethiopia, Kenya</v>
      </c>
      <c r="E7" s="5">
        <v>40000</v>
      </c>
      <c r="F7" s="4" t="str">
        <v>TBC</v>
      </c>
      <c r="G7" s="4">
        <v>171</v>
      </c>
    </row>
    <row r="8" ht="50" customHeight="1">
      <c r="A8" s="4" t="str">
        <v>AOW02: Fragile and Conflict-affected Food Systems</v>
      </c>
      <c r="B8" s="4" t="str">
        <v>Unknown Partner 1</v>
      </c>
      <c r="C8" s="4" t="str">
        <v>IWMI</v>
      </c>
      <c r="D8" s="4" t="str">
        <v>State of Palestine</v>
      </c>
      <c r="E8" s="5">
        <v>95000</v>
      </c>
      <c r="F8" s="4" t="str">
        <v xml:space="preserve">Name of Partner: Palestinian Hydrology Group </v>
      </c>
      <c r="G8" s="4">
        <v>583</v>
      </c>
    </row>
    <row r="9" ht="25" customHeight="1">
      <c r="B9" s="9" t="str">
        <v>Contracted partners subtotal</v>
      </c>
      <c r="E9" s="9">
        <v>265000</v>
      </c>
      <c r="F9" s="9" t="str">
        <v/>
      </c>
      <c r="G9" s="9" t="str">
        <v/>
      </c>
    </row>
  </sheetData>
  <mergeCells count="4">
    <mergeCell ref="B3:D3"/>
    <mergeCell ref="A2:A3"/>
    <mergeCell ref="B9:D9"/>
    <mergeCell ref="A4: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W-P-XXX1-Jahez</v>
      </c>
      <c r="C2" s="4" t="str">
        <v>2.1.1 Prevent</v>
      </c>
      <c r="D2" s="5">
        <v>3150000</v>
      </c>
      <c r="E2" s="4" t="str">
        <v>TBC</v>
      </c>
      <c r="F2" s="4">
        <v>1247</v>
      </c>
    </row>
    <row r="3" ht="25" customHeight="1">
      <c r="B3" s="9" t="str">
        <v>W3/Bilateral budget subtotal</v>
      </c>
      <c r="D3" s="9">
        <v>3150000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142156</v>
      </c>
      <c r="E2" s="4" t="str">
        <v>AoW1 AND AOW2 Leads costs</v>
      </c>
      <c r="F2" s="4">
        <v>82</v>
      </c>
      <c r="G2" s="4">
        <v>3</v>
      </c>
    </row>
    <row r="3" ht="45" customHeight="1">
      <c r="A3" s="4" t="str">
        <v>AOW00: Cross Cutting</v>
      </c>
      <c r="B3" s="4" t="str">
        <v>IWMI</v>
      </c>
      <c r="C3" s="4" t="str">
        <v>Operations</v>
      </c>
      <c r="D3" s="5">
        <v>99182</v>
      </c>
      <c r="E3" s="4" t="str">
        <v>AoW1 &amp; AoW2 Leads operational Budget each $40k and Pause and Reflect costs reimbursement AND PNG travel budget USD 15,015</v>
      </c>
      <c r="F3" s="4">
        <v>83</v>
      </c>
      <c r="G3" s="4">
        <v>4</v>
      </c>
    </row>
    <row r="4" ht="45" customHeight="1">
      <c r="A4" s="4" t="str">
        <v>AOW00: Cross Cutting</v>
      </c>
      <c r="B4" s="4" t="str">
        <v>IWMI</v>
      </c>
      <c r="C4" s="4" t="str">
        <v>PMU, CGIAR Program Finance Support and associated Allocation</v>
      </c>
      <c r="D4" s="5">
        <v>67965</v>
      </c>
      <c r="E4" s="4" t="str">
        <v>PMU Coordination Lead</v>
      </c>
      <c r="F4" s="4">
        <v>84</v>
      </c>
      <c r="G4" s="4">
        <v>2</v>
      </c>
    </row>
    <row r="5" ht="25" customHeight="1">
      <c r="C5" s="9" t="str">
        <v>Cross-cutting budget subtotal</v>
      </c>
      <c r="D5" s="9">
        <v>309303</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210121</v>
      </c>
      <c r="C2" s="5">
        <v>617456</v>
      </c>
      <c r="D2" s="5">
        <v>722785</v>
      </c>
      <c r="E2" s="5">
        <v>0</v>
      </c>
      <c r="F2" s="5">
        <v>164164</v>
      </c>
      <c r="G2" s="5">
        <f>=SUM(B2:F2)</f>
        <v>0</v>
      </c>
    </row>
    <row r="3" ht="20" customHeight="1">
      <c r="A3" s="4" t="str">
        <v>Operations (supplies, consultants, travels, workshops, other)</v>
      </c>
      <c r="B3" s="5">
        <v>99182</v>
      </c>
      <c r="C3" s="5">
        <v>296304</v>
      </c>
      <c r="D3" s="5">
        <v>368964</v>
      </c>
      <c r="E3" s="5">
        <v>0</v>
      </c>
      <c r="F3" s="5">
        <v>70356</v>
      </c>
      <c r="G3" s="5">
        <f>=SUM(B3:F3)</f>
        <v>0</v>
      </c>
    </row>
    <row r="4" ht="20" customHeight="1">
      <c r="A4" s="4" t="str">
        <v>Collaborators non-CGIAR centers</v>
      </c>
      <c r="B4" s="5">
        <v>0</v>
      </c>
      <c r="C4" s="5">
        <v>65000</v>
      </c>
      <c r="D4" s="5">
        <v>265000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Jordan</v>
      </c>
      <c r="D2" s="5">
        <v>33.4</v>
      </c>
      <c r="E2" s="4">
        <v>3365</v>
      </c>
    </row>
    <row r="3" ht="45" customHeight="1">
      <c r="A3" s="4" t="str">
        <v>AOW00: Cross Cutting</v>
      </c>
      <c r="B3" s="4" t="str">
        <v>IWMI</v>
      </c>
      <c r="C3" s="4" t="str">
        <v>Kenya</v>
      </c>
      <c r="D3" s="5">
        <v>33.3</v>
      </c>
      <c r="E3" s="4">
        <v>3364</v>
      </c>
    </row>
    <row r="4" ht="45" customHeight="1">
      <c r="A4" s="4" t="str">
        <v>AOW00: Cross Cutting</v>
      </c>
      <c r="B4" s="4" t="str">
        <v>IWMI</v>
      </c>
      <c r="C4" s="4" t="str">
        <v>South Africa</v>
      </c>
      <c r="D4" s="5">
        <v>33.3</v>
      </c>
      <c r="E4" s="4">
        <v>3363</v>
      </c>
    </row>
    <row r="5" ht="45" customHeight="1">
      <c r="A5" s="8" t="str">
        <v>AOW01: Future Food Systems Lab</v>
      </c>
      <c r="B5" s="4" t="str">
        <v>IWMI</v>
      </c>
      <c r="C5" s="4" t="str">
        <v>Bangladesh</v>
      </c>
      <c r="D5" s="5">
        <v>5</v>
      </c>
      <c r="E5" s="4">
        <v>861</v>
      </c>
    </row>
    <row r="6" ht="45" customHeight="1">
      <c r="A6" s="4" t="str">
        <v>AOW01: Future Food Systems Lab</v>
      </c>
      <c r="B6" s="4" t="str">
        <v>IWMI</v>
      </c>
      <c r="C6" s="4" t="str">
        <v>Burkina Faso</v>
      </c>
      <c r="D6" s="5">
        <v>5</v>
      </c>
      <c r="E6" s="4">
        <v>862</v>
      </c>
    </row>
    <row r="7" ht="45" customHeight="1">
      <c r="A7" s="4" t="str">
        <v>AOW01: Future Food Systems Lab</v>
      </c>
      <c r="B7" s="4" t="str">
        <v>IWMI</v>
      </c>
      <c r="C7" s="4" t="str">
        <v>Ethiopia</v>
      </c>
      <c r="D7" s="5">
        <v>5</v>
      </c>
      <c r="E7" s="4">
        <v>70</v>
      </c>
    </row>
    <row r="8" ht="45" customHeight="1">
      <c r="A8" s="4" t="str">
        <v>AOW01: Future Food Systems Lab</v>
      </c>
      <c r="B8" s="4" t="str">
        <v>IWMI</v>
      </c>
      <c r="C8" s="4" t="str">
        <v>Ghana</v>
      </c>
      <c r="D8" s="5">
        <v>5</v>
      </c>
      <c r="E8" s="4">
        <v>863</v>
      </c>
    </row>
    <row r="9" ht="45" customHeight="1">
      <c r="A9" s="4" t="str">
        <v>AOW01: Future Food Systems Lab</v>
      </c>
      <c r="B9" s="4" t="str">
        <v>IWMI</v>
      </c>
      <c r="C9" s="4" t="str">
        <v>Jamaica</v>
      </c>
      <c r="D9" s="5">
        <v>5</v>
      </c>
      <c r="E9" s="4">
        <v>864</v>
      </c>
    </row>
    <row r="10" ht="45" customHeight="1">
      <c r="A10" s="4" t="str">
        <v>AOW01: Future Food Systems Lab</v>
      </c>
      <c r="B10" s="4" t="str">
        <v>IWMI</v>
      </c>
      <c r="C10" s="4" t="str">
        <v>Jordan</v>
      </c>
      <c r="D10" s="5">
        <v>5</v>
      </c>
      <c r="E10" s="4">
        <v>865</v>
      </c>
    </row>
    <row r="11" ht="45" customHeight="1">
      <c r="A11" s="4" t="str">
        <v>AOW01: Future Food Systems Lab</v>
      </c>
      <c r="B11" s="4" t="str">
        <v>IWMI</v>
      </c>
      <c r="C11" s="4" t="str">
        <v>Kenya</v>
      </c>
      <c r="D11" s="5">
        <v>5</v>
      </c>
      <c r="E11" s="4">
        <v>866</v>
      </c>
    </row>
    <row r="12" ht="45" customHeight="1">
      <c r="A12" s="4" t="str">
        <v>AOW01: Future Food Systems Lab</v>
      </c>
      <c r="B12" s="4" t="str">
        <v>IWMI</v>
      </c>
      <c r="C12" s="4" t="str">
        <v>Mali</v>
      </c>
      <c r="D12" s="5">
        <v>5</v>
      </c>
      <c r="E12" s="4">
        <v>867</v>
      </c>
    </row>
    <row r="13" ht="45" customHeight="1">
      <c r="A13" s="4" t="str">
        <v>AOW01: Future Food Systems Lab</v>
      </c>
      <c r="B13" s="4" t="str">
        <v>IWMI</v>
      </c>
      <c r="C13" s="4" t="str">
        <v>Mozambique</v>
      </c>
      <c r="D13" s="5">
        <v>5</v>
      </c>
      <c r="E13" s="4">
        <v>868</v>
      </c>
    </row>
    <row r="14" ht="45" customHeight="1">
      <c r="A14" s="4" t="str">
        <v>AOW01: Future Food Systems Lab</v>
      </c>
      <c r="B14" s="4" t="str">
        <v>IWMI</v>
      </c>
      <c r="C14" s="4" t="str">
        <v>Nigeria</v>
      </c>
      <c r="D14" s="5">
        <v>5</v>
      </c>
      <c r="E14" s="4">
        <v>869</v>
      </c>
    </row>
    <row r="15" ht="45" customHeight="1">
      <c r="A15" s="4" t="str">
        <v>AOW01: Future Food Systems Lab</v>
      </c>
      <c r="B15" s="4" t="str">
        <v>IWMI</v>
      </c>
      <c r="C15" s="4" t="str">
        <v>Pakistan</v>
      </c>
      <c r="D15" s="5">
        <v>5</v>
      </c>
      <c r="E15" s="4">
        <v>870</v>
      </c>
    </row>
    <row r="16" ht="45" customHeight="1">
      <c r="A16" s="4" t="str">
        <v>AOW01: Future Food Systems Lab</v>
      </c>
      <c r="B16" s="4" t="str">
        <v>IWMI</v>
      </c>
      <c r="C16" s="4" t="str">
        <v>Papua New Guinea</v>
      </c>
      <c r="D16" s="5">
        <v>5</v>
      </c>
      <c r="E16" s="4">
        <v>871</v>
      </c>
    </row>
    <row r="17" ht="45" customHeight="1">
      <c r="A17" s="4" t="str">
        <v>AOW01: Future Food Systems Lab</v>
      </c>
      <c r="B17" s="4" t="str">
        <v>IWMI</v>
      </c>
      <c r="C17" s="4" t="str">
        <v>Peru</v>
      </c>
      <c r="D17" s="5">
        <v>10</v>
      </c>
      <c r="E17" s="4">
        <v>69</v>
      </c>
    </row>
    <row r="18" ht="45" customHeight="1">
      <c r="A18" s="4" t="str">
        <v>AOW01: Future Food Systems Lab</v>
      </c>
      <c r="B18" s="4" t="str">
        <v>IWMI</v>
      </c>
      <c r="C18" s="4" t="str">
        <v>Philippines</v>
      </c>
      <c r="D18" s="5">
        <v>5</v>
      </c>
      <c r="E18" s="4">
        <v>872</v>
      </c>
    </row>
    <row r="19" ht="45" customHeight="1">
      <c r="A19" s="4" t="str">
        <v>AOW01: Future Food Systems Lab</v>
      </c>
      <c r="B19" s="4" t="str">
        <v>IWMI</v>
      </c>
      <c r="C19" s="4" t="str">
        <v>Solomon Islands</v>
      </c>
      <c r="D19" s="5">
        <v>5</v>
      </c>
      <c r="E19" s="4">
        <v>873</v>
      </c>
    </row>
    <row r="20" ht="45" customHeight="1">
      <c r="A20" s="4" t="str">
        <v>AOW01: Future Food Systems Lab</v>
      </c>
      <c r="B20" s="4" t="str">
        <v>IWMI</v>
      </c>
      <c r="C20" s="4" t="str">
        <v>Somalia</v>
      </c>
      <c r="D20" s="5">
        <v>5</v>
      </c>
      <c r="E20" s="4">
        <v>874</v>
      </c>
    </row>
    <row r="21" ht="45" customHeight="1">
      <c r="A21" s="4" t="str">
        <v>AOW01: Future Food Systems Lab</v>
      </c>
      <c r="B21" s="4" t="str">
        <v>IWMI</v>
      </c>
      <c r="C21" s="4" t="str">
        <v>The Republic of the Sudan</v>
      </c>
      <c r="D21" s="5">
        <v>5</v>
      </c>
      <c r="E21" s="4">
        <v>875</v>
      </c>
    </row>
    <row r="22" ht="45" customHeight="1">
      <c r="A22" s="4" t="str">
        <v>AOW01: Future Food Systems Lab</v>
      </c>
      <c r="B22" s="4" t="str">
        <v>IWMI</v>
      </c>
      <c r="C22" s="4" t="str">
        <v>Timor-Leste</v>
      </c>
      <c r="D22" s="5">
        <v>5</v>
      </c>
      <c r="E22" s="4">
        <v>876</v>
      </c>
    </row>
    <row r="23" ht="45" customHeight="1">
      <c r="A23" s="4" t="str">
        <v>AOW01: Future Food Systems Lab</v>
      </c>
      <c r="B23" s="4" t="str">
        <v>IWMI</v>
      </c>
      <c r="C23" s="4" t="str">
        <v>Yemen</v>
      </c>
      <c r="D23" s="5">
        <v>5</v>
      </c>
      <c r="E23" s="4">
        <v>877</v>
      </c>
    </row>
    <row r="24" ht="45" customHeight="1">
      <c r="A24" s="8" t="str">
        <v>AOW02: Fragile and Conflict-affected Food Systems</v>
      </c>
      <c r="B24" s="4" t="str">
        <v>IWMI</v>
      </c>
      <c r="C24" s="4" t="str">
        <v>Bangladesh</v>
      </c>
      <c r="D24" s="5">
        <v>10</v>
      </c>
      <c r="E24" s="4">
        <v>2606</v>
      </c>
    </row>
    <row r="25" ht="45" customHeight="1">
      <c r="A25" s="4" t="str">
        <v>AOW02: Fragile and Conflict-affected Food Systems</v>
      </c>
      <c r="B25" s="4" t="str">
        <v>IWMI</v>
      </c>
      <c r="C25" s="4" t="str">
        <v>Burkina Faso</v>
      </c>
      <c r="D25" s="5">
        <v>5</v>
      </c>
      <c r="E25" s="4">
        <v>2609</v>
      </c>
    </row>
    <row r="26" ht="45" customHeight="1">
      <c r="A26" s="4" t="str">
        <v>AOW02: Fragile and Conflict-affected Food Systems</v>
      </c>
      <c r="B26" s="4" t="str">
        <v>IWMI</v>
      </c>
      <c r="C26" s="4" t="str">
        <v>Ethiopia</v>
      </c>
      <c r="D26" s="5">
        <v>12</v>
      </c>
      <c r="E26" s="4">
        <v>2605</v>
      </c>
    </row>
    <row r="27" ht="45" customHeight="1">
      <c r="A27" s="4" t="str">
        <v>AOW02: Fragile and Conflict-affected Food Systems</v>
      </c>
      <c r="B27" s="4" t="str">
        <v>IWMI</v>
      </c>
      <c r="C27" s="4" t="str">
        <v>Ghana</v>
      </c>
      <c r="D27" s="5">
        <v>8</v>
      </c>
      <c r="E27" s="4">
        <v>2608</v>
      </c>
    </row>
    <row r="28" ht="45" customHeight="1">
      <c r="A28" s="4" t="str">
        <v>AOW02: Fragile and Conflict-affected Food Systems</v>
      </c>
      <c r="B28" s="4" t="str">
        <v>IWMI</v>
      </c>
      <c r="C28" s="4" t="str">
        <v>Jordan</v>
      </c>
      <c r="D28" s="5">
        <v>10</v>
      </c>
      <c r="E28" s="4">
        <v>2614</v>
      </c>
    </row>
    <row r="29" ht="45" customHeight="1">
      <c r="A29" s="4" t="str">
        <v>AOW02: Fragile and Conflict-affected Food Systems</v>
      </c>
      <c r="B29" s="4" t="str">
        <v>IWMI</v>
      </c>
      <c r="C29" s="4" t="str">
        <v>Kenya</v>
      </c>
      <c r="D29" s="5">
        <v>10</v>
      </c>
      <c r="E29" s="4">
        <v>2603</v>
      </c>
    </row>
    <row r="30" ht="45" customHeight="1">
      <c r="A30" s="4" t="str">
        <v>AOW02: Fragile and Conflict-affected Food Systems</v>
      </c>
      <c r="B30" s="4" t="str">
        <v>IWMI</v>
      </c>
      <c r="C30" s="4" t="str">
        <v>Mali</v>
      </c>
      <c r="D30" s="5">
        <v>1</v>
      </c>
      <c r="E30" s="4">
        <v>2610</v>
      </c>
    </row>
    <row r="31" ht="45" customHeight="1">
      <c r="A31" s="4" t="str">
        <v>AOW02: Fragile and Conflict-affected Food Systems</v>
      </c>
      <c r="B31" s="4" t="str">
        <v>IWMI</v>
      </c>
      <c r="C31" s="4" t="str">
        <v>Mozambique</v>
      </c>
      <c r="D31" s="5">
        <v>1</v>
      </c>
      <c r="E31" s="4">
        <v>2611</v>
      </c>
    </row>
    <row r="32" ht="45" customHeight="1">
      <c r="A32" s="4" t="str">
        <v>AOW02: Fragile and Conflict-affected Food Systems</v>
      </c>
      <c r="B32" s="4" t="str">
        <v>IWMI</v>
      </c>
      <c r="C32" s="4" t="str">
        <v>Nigeria</v>
      </c>
      <c r="D32" s="5">
        <v>10</v>
      </c>
      <c r="E32" s="4">
        <v>2607</v>
      </c>
    </row>
    <row r="33" ht="45" customHeight="1">
      <c r="A33" s="4" t="str">
        <v>AOW02: Fragile and Conflict-affected Food Systems</v>
      </c>
      <c r="B33" s="4" t="str">
        <v>IWMI</v>
      </c>
      <c r="C33" s="4" t="str">
        <v>Pakistan</v>
      </c>
      <c r="D33" s="5">
        <v>1</v>
      </c>
      <c r="E33" s="4">
        <v>2612</v>
      </c>
    </row>
    <row r="34" ht="45" customHeight="1">
      <c r="A34" s="4" t="str">
        <v>AOW02: Fragile and Conflict-affected Food Systems</v>
      </c>
      <c r="B34" s="4" t="str">
        <v>IWMI</v>
      </c>
      <c r="C34" s="4" t="str">
        <v>Philippines</v>
      </c>
      <c r="D34" s="5">
        <v>1</v>
      </c>
      <c r="E34" s="4">
        <v>2613</v>
      </c>
    </row>
    <row r="35" ht="45" customHeight="1">
      <c r="A35" s="4" t="str">
        <v>AOW02: Fragile and Conflict-affected Food Systems</v>
      </c>
      <c r="B35" s="4" t="str">
        <v>IWMI</v>
      </c>
      <c r="C35" s="4" t="str">
        <v>State of Palestine</v>
      </c>
      <c r="D35" s="5">
        <v>17</v>
      </c>
      <c r="E35" s="4">
        <v>2602</v>
      </c>
    </row>
    <row r="36" ht="45" customHeight="1">
      <c r="A36" s="4" t="str">
        <v>AOW02: Fragile and Conflict-affected Food Systems</v>
      </c>
      <c r="B36" s="4" t="str">
        <v>IWMI</v>
      </c>
      <c r="C36" s="4" t="str">
        <v>The Republic of the Sudan</v>
      </c>
      <c r="D36" s="5">
        <v>14</v>
      </c>
      <c r="E36" s="4">
        <v>2604</v>
      </c>
    </row>
    <row r="37" ht="45" customHeight="1">
      <c r="A37" s="8" t="str">
        <v>AOW04: Island Food Systems</v>
      </c>
      <c r="B37" s="4" t="str">
        <v>IWMI</v>
      </c>
      <c r="C37" s="4" t="str">
        <v>Papua New Guinea</v>
      </c>
      <c r="D37" s="5">
        <v>33</v>
      </c>
      <c r="E37" s="4">
        <v>962</v>
      </c>
    </row>
    <row r="38" ht="45" customHeight="1">
      <c r="A38" s="4" t="str">
        <v>AOW04: Island Food Systems</v>
      </c>
      <c r="B38" s="4" t="str">
        <v>IWMI</v>
      </c>
      <c r="C38" s="4" t="str">
        <v>Solomon Islands</v>
      </c>
      <c r="D38" s="5">
        <v>33</v>
      </c>
      <c r="E38" s="4">
        <v>963</v>
      </c>
    </row>
    <row r="39" ht="45" customHeight="1">
      <c r="A39" s="4" t="str">
        <v>AOW04: Island Food Systems</v>
      </c>
      <c r="B39" s="4" t="str">
        <v>IWMI</v>
      </c>
      <c r="C39" s="4" t="str">
        <v>Timor-Leste</v>
      </c>
      <c r="D39" s="5">
        <v>34</v>
      </c>
      <c r="E39" s="4">
        <v>964</v>
      </c>
    </row>
  </sheetData>
  <mergeCells count="4">
    <mergeCell ref="A2:A4"/>
    <mergeCell ref="A5:A23"/>
    <mergeCell ref="A24:A36"/>
    <mergeCell ref="A37:A39"/>
  </mergeCells>
  <ignoredErrors>
    <ignoredError numberStoredAsText="1" sqref="A1:E39"/>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1678</v>
      </c>
    </row>
    <row r="3" ht="45" customHeight="1">
      <c r="A3" s="8" t="str">
        <v>AOW01: Future Food Systems Lab</v>
      </c>
      <c r="B3" s="4" t="str">
        <v>IWMI</v>
      </c>
      <c r="C3" s="4" t="str">
        <v>Global</v>
      </c>
      <c r="D3" s="4" t="str">
        <v>global</v>
      </c>
      <c r="E3" s="5">
        <v>100</v>
      </c>
      <c r="F3" s="4">
        <v>91</v>
      </c>
    </row>
    <row r="4" ht="45" customHeight="1">
      <c r="A4" s="8" t="str">
        <v>AOW02: Fragile and Conflict-affected Food Systems</v>
      </c>
      <c r="B4" s="4" t="str">
        <v>IWMI</v>
      </c>
      <c r="C4" s="4" t="str">
        <v>Global</v>
      </c>
      <c r="D4" s="4" t="str">
        <v>global</v>
      </c>
      <c r="E4" s="5">
        <v>100</v>
      </c>
      <c r="F4" s="4">
        <v>402</v>
      </c>
    </row>
    <row r="5" ht="45" customHeight="1">
      <c r="A5" s="8" t="str">
        <v>AOW04: Island Food Systems</v>
      </c>
      <c r="B5" s="4" t="str">
        <v>IWMI</v>
      </c>
      <c r="C5" s="4" t="str">
        <v>Global</v>
      </c>
      <c r="D5" s="4" t="str">
        <v>global</v>
      </c>
      <c r="E5" s="5">
        <v>100</v>
      </c>
      <c r="F5" s="4">
        <v>280</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