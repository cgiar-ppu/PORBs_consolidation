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16667</v>
      </c>
      <c r="K4" s="5">
        <v>16667</v>
      </c>
      <c r="L4" s="5">
        <v>0</v>
      </c>
      <c r="M4" s="5">
        <v>0</v>
      </c>
      <c r="N4" s="4">
        <v>230</v>
      </c>
    </row>
    <row r="5" ht="20" customHeight="1">
      <c r="A5" s="4" t="str">
        <v>AOW01: Future Food Systems Lab</v>
      </c>
      <c r="B5" s="5">
        <v>8</v>
      </c>
      <c r="C5" s="5">
        <v>91743</v>
      </c>
      <c r="D5" s="5">
        <v>3</v>
      </c>
      <c r="E5" s="5">
        <v>100000</v>
      </c>
      <c r="F5" s="5">
        <v>300</v>
      </c>
      <c r="G5" s="5">
        <v>30000</v>
      </c>
      <c r="H5" s="5">
        <v>0</v>
      </c>
      <c r="I5" s="5">
        <v>0</v>
      </c>
      <c r="J5" s="5">
        <v>221743</v>
      </c>
      <c r="K5" s="5">
        <v>221743</v>
      </c>
      <c r="L5" s="5">
        <v>0</v>
      </c>
      <c r="M5" s="5">
        <v>0</v>
      </c>
      <c r="N5" s="4">
        <v>226</v>
      </c>
    </row>
    <row r="6" ht="20" customHeight="1">
      <c r="A6" s="4" t="str">
        <v>AOW02: Fragile and Conflict-affected Food Systems</v>
      </c>
      <c r="B6" s="5">
        <v>3</v>
      </c>
      <c r="C6" s="5">
        <v>33250</v>
      </c>
      <c r="D6" s="5">
        <v>29</v>
      </c>
      <c r="E6" s="5">
        <v>1176763</v>
      </c>
      <c r="F6" s="5">
        <v>460</v>
      </c>
      <c r="G6" s="5">
        <v>114500</v>
      </c>
      <c r="H6" s="5">
        <v>30</v>
      </c>
      <c r="I6" s="5">
        <v>12000</v>
      </c>
      <c r="J6" s="5">
        <v>1336513</v>
      </c>
      <c r="K6" s="5">
        <v>1336513</v>
      </c>
      <c r="L6" s="5">
        <v>63000</v>
      </c>
      <c r="M6" s="5">
        <v>162000</v>
      </c>
      <c r="N6" s="4">
        <v>228</v>
      </c>
    </row>
    <row r="7" ht="20" customHeight="1">
      <c r="A7" s="4" t="str">
        <v>AOW03: Urban Food Systems</v>
      </c>
      <c r="B7" s="5">
        <v>0</v>
      </c>
      <c r="C7" s="5">
        <v>0</v>
      </c>
      <c r="D7" s="5">
        <v>0</v>
      </c>
      <c r="E7" s="5">
        <v>0</v>
      </c>
      <c r="F7" s="5">
        <v>0</v>
      </c>
      <c r="G7" s="5">
        <v>0</v>
      </c>
      <c r="H7" s="5">
        <v>0</v>
      </c>
      <c r="I7" s="5">
        <v>0</v>
      </c>
      <c r="J7" s="5">
        <v>0</v>
      </c>
      <c r="K7" s="5">
        <v>0</v>
      </c>
      <c r="L7" s="5">
        <v>0</v>
      </c>
      <c r="M7" s="5">
        <v>0</v>
      </c>
      <c r="N7" s="4">
        <v>227</v>
      </c>
    </row>
    <row r="8" ht="20" customHeight="1">
      <c r="A8" s="4" t="str">
        <v>AOW04: Island Food Systems</v>
      </c>
      <c r="B8" s="5">
        <v>0</v>
      </c>
      <c r="C8" s="5">
        <v>0</v>
      </c>
      <c r="D8" s="5">
        <v>0</v>
      </c>
      <c r="E8" s="5">
        <v>0</v>
      </c>
      <c r="F8" s="5">
        <v>0</v>
      </c>
      <c r="G8" s="5">
        <v>0</v>
      </c>
      <c r="H8" s="5">
        <v>0</v>
      </c>
      <c r="I8" s="5">
        <v>0</v>
      </c>
      <c r="J8" s="5">
        <v>0</v>
      </c>
      <c r="K8" s="5">
        <v>0</v>
      </c>
      <c r="L8" s="5">
        <v>0</v>
      </c>
      <c r="M8" s="5">
        <v>0</v>
      </c>
      <c r="N8" s="4">
        <v>229</v>
      </c>
    </row>
    <row r="9" ht="25" customHeight="1">
      <c r="A9" s="6" t="str">
        <v>Total</v>
      </c>
      <c r="B9" s="7" t="str">
        <v/>
      </c>
      <c r="C9" s="7">
        <v>124993</v>
      </c>
      <c r="D9" s="7" t="str">
        <v/>
      </c>
      <c r="E9" s="7">
        <v>1276763</v>
      </c>
      <c r="F9" s="7" t="str">
        <v/>
      </c>
      <c r="G9" s="7">
        <v>144500</v>
      </c>
      <c r="H9" s="7" t="str">
        <v/>
      </c>
      <c r="I9" s="7">
        <v>12000</v>
      </c>
      <c r="J9" s="7">
        <v>1574923</v>
      </c>
      <c r="K9" s="7">
        <v>1574923</v>
      </c>
      <c r="L9" s="7">
        <v>63000</v>
      </c>
      <c r="M9" s="7">
        <v>162000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5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Future Food Systems Lab</v>
      </c>
      <c r="B3" s="4" t="str">
        <v>IFPRI</v>
      </c>
      <c r="C3" s="4" t="str">
        <v>1.1.1 Envisioning Food System Futures</v>
      </c>
      <c r="D3" s="4" t="str">
        <v>AW1P2: Accelerating agripreneurship development through Agribusiness Incubation Platforms (AIPs)- Critical Capability_IFPRI: Foresight and Rapid Response Modeling System: KPI- update modeling data systems to the most recent base years for at least 8 countries and deploy the FARRMS (Foresight and Rapid Response Modeling Systems) in at least 2 unanticipated crises, producing documented analytical outputs to inform decision-making</v>
      </c>
      <c r="E3" s="4" t="str">
        <v>Number of innovations (innovation development)</v>
      </c>
      <c r="F3" s="4" t="str">
        <v>Mozambique, Ethiopia, Bangladesh, Nigeria, Burkina Faso</v>
      </c>
      <c r="G3" s="5">
        <v>8</v>
      </c>
      <c r="H3" s="5">
        <v>91743</v>
      </c>
      <c r="I3" s="4" t="str">
        <v>Budget will support the development of 8 innovations in the 8 countries</v>
      </c>
      <c r="J3" s="4">
        <v>6859</v>
      </c>
    </row>
    <row r="4" ht="50" customHeight="1" xml:space="preserve">
      <c r="B4" s="4" t="str">
        <v>IFPRI</v>
      </c>
      <c r="D4" s="4" t="str" xml:space="preserve">
        <v xml:space="preserve">AW1P7: FCAS Operational Strategy-KPI-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
</v>
      </c>
      <c r="E4" s="4" t="str">
        <v>Number of knowledge products</v>
      </c>
      <c r="F4" s="4" t="str">
        <v>Jordan, Solomon Islands, Jamaica, Philippines, Nigeria, Ethiopia, Mozambique, Timor-Leste, Somalia, Bangladesh, Peru, Papua New Guinea, Mali, Pakistan, Kenya, Ghana, The Republic of the Sudan, Yemen, Burkina Faso</v>
      </c>
      <c r="G4" s="5">
        <v>1</v>
      </c>
      <c r="H4" s="5">
        <v>20000</v>
      </c>
      <c r="I4" s="4" t="str">
        <v>Staff time to identify, document, and write case studies from CGIAR's FCAS work and compile, edit, and publish the final knowledge product with actionable evidence for the FCAS Operational Strategy.</v>
      </c>
      <c r="J4" s="4">
        <v>7714</v>
      </c>
    </row>
    <row r="5" ht="50" customHeight="1">
      <c r="A5" s="4" t="str">
        <v>AOW01: Future Food Systems Lab</v>
      </c>
      <c r="B5" s="4" t="str">
        <v>IFPRI</v>
      </c>
      <c r="C5" s="4" t="str">
        <v>1.2.2 Evidence Synthesis and Adaptive Learning</v>
      </c>
      <c r="D5" s="4" t="str">
        <v>AW1P10: RENEW: Resilient Nature-Based Water Solutions for Food Systems and Women’s Empowerment - Produce and disseminate 1 policy brief that synthesizes evidence on Nature-Based Solutions (NBS) and provides actionable recommendations and an investment guide to support scaling and sustainability among government and non-government stakeholders.</v>
      </c>
      <c r="E5" s="4" t="str">
        <v>Number of knowledge products</v>
      </c>
      <c r="F5" s="4" t="str">
        <v>Nigeria</v>
      </c>
      <c r="G5" s="5">
        <v>1</v>
      </c>
      <c r="H5" s="5">
        <v>30000</v>
      </c>
      <c r="I5" s="4" t="str">
        <v>Budget will support knowledge products, strategic plans, and innovation/investment priorities co-designed and shared with stakeholders and partners</v>
      </c>
      <c r="J5" s="4">
        <v>6861</v>
      </c>
    </row>
    <row r="6" ht="50" customHeight="1">
      <c r="B6" s="4" t="str">
        <v>IFPRI</v>
      </c>
      <c r="D6" s="4" t="str">
        <v>Conduct an economic analysis of key Nature-Based Solutions (NBS) implemented under the Gender, Climate Change and Nutrition Integration Initiative (GCAN) in Nigeria, focusing on on-farm soil and water management (including soil bunds, in-field water and nutrient retention structures), ecosystem and watershed restoration, and vegetative bunds. The study will include a social cost-benefit analysis and an impact assessment to evaluate effects on selected agricultural, economic, and environmental outcomes.</v>
      </c>
      <c r="E6" s="4" t="str">
        <v>Number of knowledge products</v>
      </c>
      <c r="F6" s="4" t="str">
        <v>Nigeria</v>
      </c>
      <c r="G6" s="5">
        <v>1</v>
      </c>
      <c r="H6" s="5">
        <v>50000</v>
      </c>
      <c r="I6" s="4" t="str">
        <v>Budget will support staff costs and publication fees to generate knowledge products documenting evidence and methods of safe, nutritious, and climate-resilient urban food production</v>
      </c>
      <c r="J6" s="4">
        <v>6862</v>
      </c>
    </row>
    <row r="7" ht="50" customHeight="1">
      <c r="B7" s="4" t="str">
        <v>IFPRI</v>
      </c>
      <c r="D7" s="4" t="str">
        <v>AW1P10: RENEW: Resilient Nature-Based Water Solutions for Food Systems and Women’s Empowerment - Economic analysis of selected Nature-Based Solutions (NBS) to promote sustainability and scaling.</v>
      </c>
      <c r="E7" s="4" t="str">
        <v>Number of knowledge products</v>
      </c>
      <c r="F7" s="4" t="str">
        <v>The Republic of the Sudan, Nigeria</v>
      </c>
      <c r="G7" s="5">
        <v>2</v>
      </c>
      <c r="H7" s="5">
        <v>0</v>
      </c>
      <c r="I7" s="4" t="str">
        <v/>
      </c>
      <c r="J7" s="4">
        <v>7696</v>
      </c>
    </row>
    <row r="8" ht="50" customHeight="1">
      <c r="A8" s="4" t="str">
        <v>AOW01: Future Food Systems Lab</v>
      </c>
      <c r="B8" s="4" t="str">
        <v>IFPRI</v>
      </c>
      <c r="C8" s="4" t="str">
        <v>1.3.3 Entrepreneurship Support Program</v>
      </c>
      <c r="D8" s="4" t="str">
        <v xml:space="preserve">Develop the training materials (manuals); train 300 women and youth in climate-smart agriculture, eco-restoration, and leadership for inclusive agricultural water management and ecosystem restoration efforts in northeast Nigeria, Adamawa state), leading to locally lead climate adaptation actions, livelihood enhancement, and sustainability of natural resources. The  training will be aligned with an NBS intervention to promote sustainability of that intervention. </v>
      </c>
      <c r="E8" s="4" t="str">
        <v>Number of people trained (capacity sharing for development)</v>
      </c>
      <c r="F8" s="4" t="str">
        <v>The Republic of the Sudan, Nigeria</v>
      </c>
      <c r="G8" s="5">
        <v>300</v>
      </c>
      <c r="H8" s="5">
        <v>30000</v>
      </c>
      <c r="I8" s="4" t="str">
        <v xml:space="preserve">300 training materials will be developed </v>
      </c>
      <c r="J8" s="4">
        <v>6868</v>
      </c>
    </row>
    <row r="9" ht="50" customHeight="1">
      <c r="B9" s="4" t="str">
        <v>IFPRI</v>
      </c>
      <c r="D9" s="4" t="str">
        <v>AW1P10: RENEW: Resilient Nature-Based Water Solutions for Food Systems and Women’s Empowerment - KPI- Develop training manuals and train at least 300 women and youth in climate-smart agriculture, ecosystem restoration, and leadership for inclusive agricultural water management in Adamawa State, northeast Nigeria, aligned with Nature-Based Solutions (NBS) interventions, leading to locally led climate adaptation actions, improved livelihoods, and sustainable natural resource management.</v>
      </c>
      <c r="E9" s="4" t="str">
        <v>Number of people trained (capacity sharing for development)</v>
      </c>
      <c r="F9" s="4" t="str">
        <v>Nigeria, The Republic of the Sudan</v>
      </c>
      <c r="G9" s="5">
        <v>300</v>
      </c>
      <c r="H9" s="5">
        <v>0</v>
      </c>
      <c r="I9" s="4" t="str">
        <v/>
      </c>
      <c r="J9" s="4">
        <v>7699</v>
      </c>
    </row>
    <row r="10" ht="25" customHeight="1">
      <c r="C10" s="9" t="str">
        <v>HLO budget subtotal</v>
      </c>
      <c r="H10" s="9">
        <v>221743</v>
      </c>
      <c r="J10" s="9" t="str">
        <v/>
      </c>
    </row>
    <row r="11" ht="50" customHeight="1">
      <c r="A11" s="8" t="str">
        <v>AOW02: Fragile and Conflict-affected Food Systems</v>
      </c>
      <c r="B11" s="4" t="str">
        <v>IFPRI</v>
      </c>
      <c r="C11" s="4" t="str">
        <v>2.1.1 Prevent</v>
      </c>
      <c r="D11" s="4" t="str">
        <v>Hold 1 workshop with key stakeholders and government partners</v>
      </c>
      <c r="E11" s="4" t="str">
        <v>Number of people trained (capacity sharing for development)</v>
      </c>
      <c r="F11" s="4" t="str">
        <v>Kenya</v>
      </c>
      <c r="G11" s="5">
        <v>50</v>
      </c>
      <c r="H11" s="5">
        <v>0</v>
      </c>
      <c r="I11" s="4" t="str">
        <v/>
      </c>
      <c r="J11" s="4">
        <v>6869</v>
      </c>
    </row>
    <row r="12" ht="50" customHeight="1">
      <c r="B12" s="4" t="str">
        <v>IFPRI</v>
      </c>
      <c r="D12" s="4" t="str">
        <v>AW2P10: Women’s Voice and Empowerment for Resilient Food Systems in Fragile Contexts- Knowledge product on the impacts of trainings on women's voice and empowerment and livelihoods and about the innovations' development and use + dissemination</v>
      </c>
      <c r="E12" s="4" t="str">
        <v>Number of knowledge products</v>
      </c>
      <c r="F12" s="4" t="str">
        <v>Nigeria</v>
      </c>
      <c r="G12" s="5">
        <v>2</v>
      </c>
      <c r="H12" s="5">
        <v>162000</v>
      </c>
      <c r="I12" s="4" t="str">
        <v xml:space="preserve">MELIA STUDY </v>
      </c>
      <c r="J12" s="4">
        <v>6870</v>
      </c>
    </row>
    <row r="13" ht="50" customHeight="1">
      <c r="B13" s="4" t="str">
        <v>IFPRI</v>
      </c>
      <c r="D13" s="4" t="str">
        <v>AW2P10: Women’s Voice and Empowerment for Resilient Food Systems in Fragile Contexts- Knowledge product on how to make anticipatory action programming gender responsive</v>
      </c>
      <c r="E13" s="4" t="str">
        <v>Number of knowledge products</v>
      </c>
      <c r="F13" s="4" t="str">
        <v>Nigeria</v>
      </c>
      <c r="G13" s="5">
        <v>1</v>
      </c>
      <c r="H13" s="5">
        <v>30000</v>
      </c>
      <c r="I13" s="4" t="str">
        <v>Costing covers operational costs for research and write about gender and anticipatory action in Nigeria, plus editing, design, and sharing of the final knowledge product.</v>
      </c>
      <c r="J13" s="4">
        <v>6871</v>
      </c>
    </row>
    <row r="14" ht="50" customHeight="1">
      <c r="B14" s="4" t="str">
        <v>IFPRI</v>
      </c>
      <c r="D14" s="4" t="str">
        <v>AW2P10: Women’s Voice and Empowerment for Resilient Food Systems in Fragile Contexts- Knowledge product on farmer-herder conflict's impacts in the Sahel, and how to promote women's empowerment amid active conflict</v>
      </c>
      <c r="E14" s="4" t="str">
        <v>Number of knowledge products</v>
      </c>
      <c r="F14" s="4" t="str">
        <v>Nigeria</v>
      </c>
      <c r="G14" s="5">
        <v>1</v>
      </c>
      <c r="H14" s="5">
        <v>30000</v>
      </c>
      <c r="I14" s="4" t="str">
        <v>Costing covers costs for a study how farmer-herder conflict affects women in Nigeria's Sahel, find ways to support women's empowerment during active conflict, and produce and share the final knowledge product.</v>
      </c>
      <c r="J14" s="4">
        <v>6872</v>
      </c>
    </row>
    <row r="15" ht="50" customHeight="1">
      <c r="B15" s="4" t="str">
        <v>IFPRI</v>
      </c>
      <c r="D15" s="4" t="str">
        <v>AW2P10: Women’s Voice and Empowerment for Resilient Food Systems in Fragile Contexts- Knowledge products plus a blog on the impact of inclusion interventions and implications for creating more sustainable food systems in Bangladesh</v>
      </c>
      <c r="E15" s="4" t="str">
        <v>Number of knowledge products</v>
      </c>
      <c r="F15" s="4" t="str">
        <v>Bangladesh</v>
      </c>
      <c r="G15" s="5">
        <v>3</v>
      </c>
      <c r="H15" s="5">
        <v>87000</v>
      </c>
      <c r="I15" s="4" t="str">
        <v>Staff time to support a study on inclusion interventions in Bangladesh, write several knowledge products and a blog about how they affect food systems, and share everything online.</v>
      </c>
      <c r="J15" s="4">
        <v>6873</v>
      </c>
    </row>
    <row r="16" ht="50" customHeight="1">
      <c r="B16" s="4" t="str">
        <v>IFPRI</v>
      </c>
      <c r="D16" s="4" t="str">
        <v>AW2P10: Women’s Voice and Empowerment for Resilient Food Systems in Fragile Contexts- Hold a workshop with key stakeholders and government partners in Bangladesh</v>
      </c>
      <c r="E16" s="4" t="str">
        <v>Number of people trained (capacity sharing for development)</v>
      </c>
      <c r="F16" s="4" t="str">
        <v>Bangladesh</v>
      </c>
      <c r="G16" s="5">
        <v>100</v>
      </c>
      <c r="H16" s="5">
        <v>21000</v>
      </c>
      <c r="I16" s="4" t="str">
        <v>covers renting a venue and food for 30 people, staff time to plan and run the workshop, and materials for discussions on social protection and climate resilience.</v>
      </c>
      <c r="J16" s="4">
        <v>6874</v>
      </c>
    </row>
    <row r="17" ht="50" customHeight="1">
      <c r="B17" s="4" t="str">
        <v>IFPRI</v>
      </c>
      <c r="D17" s="4" t="str">
        <v xml:space="preserve"> AW2P10: Women’s Voice and Empowerment for Resilient Food Systems in Fragile Contexts- KPI- Produce a set of inspirational video-based innovation products showcasing approaches that promote inclusion in fragile food systems, highlighting lessons on equity, participation, and scalable practices.</v>
      </c>
      <c r="E17" s="4" t="str">
        <v>Number of innovations (innovation development)</v>
      </c>
      <c r="F17" s="4" t="str">
        <v>Bangladesh</v>
      </c>
      <c r="G17" s="5">
        <v>2</v>
      </c>
      <c r="H17" s="5">
        <v>12000</v>
      </c>
      <c r="I17" s="4" t="str">
        <v>Costing covers staff time to plan and film inspirational videos, pay for equipment and editing, and share the videos to promote inclusion in Bangladesh's fragile food systems</v>
      </c>
      <c r="J17" s="4">
        <v>6875</v>
      </c>
    </row>
    <row r="18" ht="50" customHeight="1" xml:space="preserve">
      <c r="B18" s="4" t="str">
        <v>IFPRI</v>
      </c>
      <c r="D18" s="4" t="str">
        <v>Knowledge products highlighting how effective engagement of local governance structures in fragile settings can contribute to rural development and inclusive resilience</v>
      </c>
      <c r="E18" s="4" t="str">
        <v>Number of knowledge products</v>
      </c>
      <c r="F18" s="4" t="str">
        <v>Mali, Nigeria, Ethiopia</v>
      </c>
      <c r="G18" s="5">
        <v>5</v>
      </c>
      <c r="H18" s="5">
        <v>255000</v>
      </c>
      <c r="I18" s="4" t="str" xml:space="preserve">
        <v xml:space="preserve">Staff time to research local governance engagement in fragile settings across Mali, Nigeria, and Ethiopia.
Operational budget for fieldwork, stakeholder meetings, translation, and validation workshops in all three countries.
Staff time to write, design, and disseminate five knowledge products with practical recommendations.</v>
      </c>
      <c r="J18" s="4">
        <v>6876</v>
      </c>
    </row>
    <row r="19" ht="50" customHeight="1" xml:space="preserve">
      <c r="B19" s="4" t="str">
        <v>IFPRI</v>
      </c>
      <c r="D19" s="4" t="str">
        <v>One CGIAR innovation to be developed and disseminated with partners in-country - a toolkit that communicates the value and relevance of AA to policymakers and implementing partners and supports its take-up</v>
      </c>
      <c r="E19" s="4" t="str">
        <v>Number of innovations (innovation development)</v>
      </c>
      <c r="F19" s="4" t="str">
        <v>Nigeria, Ethiopia, Mali</v>
      </c>
      <c r="G19" s="5">
        <v>1</v>
      </c>
      <c r="H19" s="5">
        <v>21250</v>
      </c>
      <c r="I19" s="4" t="str" xml:space="preserve">
        <v xml:space="preserve">Costing covers staff time to design, test, and finalize the anticipatory action (AA) toolkit with in-country partners in Nigeria, Ethiopia, and Mali, plus operational budget for partner workshops, translation, printing, and dissemination activities to ensure the toolkit reaches policymakers and implementing partners.
</v>
      </c>
      <c r="J19" s="4">
        <v>6877</v>
      </c>
    </row>
    <row r="20" ht="50" customHeight="1">
      <c r="B20" s="4" t="str">
        <v>IFPRI</v>
      </c>
      <c r="D20" s="4" t="str">
        <v>AW2P8: Social Protection for Inclusive Growth and Resilience in Fragile and Climate-Vulnerable Settings- KPI: Generate 1 discussion paper analyzing 8-year post-program impacts of a social protection intervention on men’s and women’s livelihoods in Bangladesh, providing evidence to inform future social protection policy and program design.</v>
      </c>
      <c r="E20" s="4" t="str">
        <v>Number of knowledge products</v>
      </c>
      <c r="F20" s="4" t="str">
        <v>Bangladesh</v>
      </c>
      <c r="G20" s="5">
        <v>1</v>
      </c>
      <c r="H20" s="5">
        <v>55000</v>
      </c>
      <c r="I20" s="4" t="str">
        <v>Costing covers staff time to study long-term impacts, talking to people or using old data to see how men's and women's livelihoods changed, and making and sharing the final paper</v>
      </c>
      <c r="J20" s="4">
        <v>6889</v>
      </c>
    </row>
    <row r="21" ht="50" customHeight="1">
      <c r="B21" s="4" t="str">
        <v>IFPRI</v>
      </c>
      <c r="D21" s="4" t="str">
        <v>AW2P8: Social Protection for Inclusive Growth and Resilience in Fragile and Climate-Vulnerable Settings- KPI- Develop and disseminate 1 policy brief analyzing how formal and informal safety nets in Somalia stabilize livelihoods, support recovery, and build resilience among IDPs, particularly women, and present its findings in 1 policy seminar.</v>
      </c>
      <c r="E21" s="4" t="str">
        <v>Number of knowledge products</v>
      </c>
      <c r="F21" s="4" t="str">
        <v>Somalia</v>
      </c>
      <c r="G21" s="5">
        <v>1</v>
      </c>
      <c r="H21" s="5">
        <v>36000</v>
      </c>
      <c r="I21" s="4" t="str">
        <v>Costing is justified by staff time for research and drafting on formal and informal safety nets, data collection or stakeholder consultations with IDPs and women, and design, editing, and dissemination of the final policy brief.</v>
      </c>
      <c r="J21" s="4">
        <v>6890</v>
      </c>
    </row>
    <row r="22" ht="50" customHeight="1">
      <c r="B22" s="4" t="str">
        <v>IFPRI</v>
      </c>
      <c r="D22" s="4" t="str">
        <v>AW2P8: Social Protection for Inclusive Growth and Resilience in Fragile and Climate-Vulnerable Settings- Stakeholder policy seminar/webinar</v>
      </c>
      <c r="E22" s="4" t="str">
        <v>Number of people trained (capacity sharing for development)</v>
      </c>
      <c r="F22" s="4" t="str">
        <v>Somalia</v>
      </c>
      <c r="G22" s="5">
        <v>30</v>
      </c>
      <c r="H22" s="5">
        <v>12000</v>
      </c>
      <c r="I22" s="4" t="str">
        <v>Budget to cover Kenya EIP Stakeholder workshop costs</v>
      </c>
      <c r="J22" s="4">
        <v>6891</v>
      </c>
    </row>
    <row r="23" ht="50" customHeight="1">
      <c r="B23" s="4" t="str">
        <v>IFPRI</v>
      </c>
      <c r="D23" s="4" t="str">
        <v>AW2P8: Social Protection for Inclusive Growth and Resilience in Fragile and Climate-Vulnerable Settings- Discussion papers will examine the impacts of the EIP on livelihoods and gender dynamics.</v>
      </c>
      <c r="E23" s="4" t="str">
        <v>Number of knowledge products</v>
      </c>
      <c r="F23" s="4" t="str">
        <v>Kenya</v>
      </c>
      <c r="G23" s="5">
        <v>2</v>
      </c>
      <c r="H23" s="5">
        <v>88024</v>
      </c>
      <c r="I23" s="4" t="str">
        <v>Costing is justified by the need for staff time to analyze livelihood and gender impacts, data collection or participatory validation to inform the analysis, and production and dissemination of the two final knowledge products</v>
      </c>
      <c r="J23" s="4">
        <v>6892</v>
      </c>
    </row>
    <row r="24" ht="50" customHeight="1">
      <c r="B24" s="4" t="str">
        <v>IFPRI</v>
      </c>
      <c r="D24" s="4" t="str">
        <v>AW2P8: Social Protection for Inclusive Growth and Resilience in Fragile and Climate-- KPI- Conduct 1 policy seminar on Kenya’s EIP program that engages at least 40 participants from government and partner institutions, resulting in improved knowledge and capacity.</v>
      </c>
      <c r="E24" s="4" t="str">
        <v>Number of people trained (capacity sharing for development)</v>
      </c>
      <c r="F24" s="4" t="str">
        <v>Kenya</v>
      </c>
      <c r="G24" s="5">
        <v>40</v>
      </c>
      <c r="H24" s="5">
        <v>12000</v>
      </c>
      <c r="I24" s="4" t="str">
        <v>Budget to cover the 50 participants at the Policy seminar on Kenya EIP</v>
      </c>
      <c r="J24" s="4">
        <v>7219</v>
      </c>
    </row>
    <row r="25" ht="50" customHeight="1">
      <c r="B25" s="4" t="str">
        <v>IFPRI</v>
      </c>
      <c r="D25" s="4" t="str">
        <v>Hold 1 stakeholder workshop on social protection and climate resilience in Bangladesh</v>
      </c>
      <c r="E25" s="4" t="str">
        <v>Number of people trained (capacity sharing for development)</v>
      </c>
      <c r="F25" s="4" t="str">
        <v>Bangladesh</v>
      </c>
      <c r="G25" s="5">
        <v>30</v>
      </c>
      <c r="H25" s="5">
        <v>12000</v>
      </c>
      <c r="I25" s="4" t="str">
        <v>Training 30pax</v>
      </c>
      <c r="J25" s="4">
        <v>7528</v>
      </c>
    </row>
    <row r="26" ht="50" customHeight="1">
      <c r="B26" s="4" t="str">
        <v>IFPRI</v>
      </c>
      <c r="D26" s="4" t="str">
        <v>Conduct 1 policy dialogue/seminar on social protection in Bangladesh</v>
      </c>
      <c r="E26" s="4" t="str">
        <v>custom</v>
      </c>
      <c r="F26" s="4" t="str">
        <v>Bangladesh</v>
      </c>
      <c r="G26" s="5">
        <v>30</v>
      </c>
      <c r="H26" s="5">
        <v>12000</v>
      </c>
      <c r="I26" s="4" t="str">
        <v>Training budget</v>
      </c>
      <c r="J26" s="4">
        <v>7529</v>
      </c>
    </row>
    <row r="27" ht="50" customHeight="1">
      <c r="B27" s="4" t="str">
        <v>IFPRI</v>
      </c>
      <c r="D27" s="4" t="str">
        <v>AW2P8: Social Protection for Inclusive Growth and Resilience in Fragile and Climate-Vulnerable Settings-- KPI- Develop and disseminate 1 discussion paper presenting impact evaluation findings of a maternal and child cash transfer program in conflict-affected Myanmar, generating evidence to inform social protection policy and program design in fragile settings.</v>
      </c>
      <c r="E27" s="4" t="str">
        <v>Number of knowledge products</v>
      </c>
      <c r="F27" s="4" t="str">
        <v>Myanmar, Bangladesh</v>
      </c>
      <c r="G27" s="5">
        <v>2</v>
      </c>
      <c r="H27" s="5">
        <v>0</v>
      </c>
      <c r="I27" s="4" t="str">
        <v/>
      </c>
      <c r="J27" s="4">
        <v>7531</v>
      </c>
    </row>
    <row r="28" ht="50" customHeight="1">
      <c r="B28" s="4" t="str">
        <v>IFPRI</v>
      </c>
      <c r="D28" s="4" t="str">
        <v xml:space="preserve"> AW2P10: Women’s Voice and Empowerment for Resilient Food Systems in Fragile Contexts- Hold 1 workshop with key stakeholders and government partners</v>
      </c>
      <c r="E28" s="4" t="str">
        <v>Number of people trained (capacity sharing for development)</v>
      </c>
      <c r="F28" s="4" t="str">
        <v>Nigeria</v>
      </c>
      <c r="G28" s="5">
        <v>100</v>
      </c>
      <c r="H28" s="5">
        <v>8000</v>
      </c>
      <c r="I28" s="4" t="str">
        <v>tbc</v>
      </c>
      <c r="J28" s="4">
        <v>7649</v>
      </c>
    </row>
    <row r="29" ht="50" customHeight="1">
      <c r="B29" s="4" t="str">
        <v>IFPRI</v>
      </c>
      <c r="D29" s="4" t="str">
        <v>AW2P5: Localizing Prevention through Governance, Trust, and Gender-Responsive Food Systems- One CGIAR innovation to be developed and disseminated with partners in-country - a toolkit that communicates the value and relevance of AA to policymakers and implementing partners and supports its take-up</v>
      </c>
      <c r="E29" s="4" t="str">
        <v>Number of innovations (innovation development)</v>
      </c>
      <c r="F29" s="4" t="str">
        <v>Ethiopia, Mali, Nigeria</v>
      </c>
      <c r="G29" s="5">
        <v>1</v>
      </c>
      <c r="H29" s="5">
        <v>0</v>
      </c>
      <c r="I29" s="4" t="str">
        <v/>
      </c>
      <c r="J29" s="4">
        <v>7666</v>
      </c>
    </row>
    <row r="30" ht="50" customHeight="1">
      <c r="B30" s="4" t="str">
        <v>IFPRI</v>
      </c>
      <c r="D30" s="4" t="str">
        <v>AW2P8: Social Protection for Inclusive Growth and Resilience in Fragile and Climate- KPI- Conduct 1 Kenya EIP stakeholder workshop training at least 30 participants from government and non-government institutions, strengthening capacity to design and implement social protection interventions for inclusive growth and resilience.</v>
      </c>
      <c r="E30" s="4" t="str">
        <v>Number of people trained (capacity sharing for development)</v>
      </c>
      <c r="F30" s="4" t="str">
        <v>Kenya</v>
      </c>
      <c r="G30" s="5">
        <v>30</v>
      </c>
      <c r="H30" s="5">
        <v>12000</v>
      </c>
      <c r="I30" s="4" t="str">
        <v>KP budgtet</v>
      </c>
      <c r="J30" s="4">
        <v>7921</v>
      </c>
    </row>
    <row r="31" ht="50" customHeight="1">
      <c r="B31" s="4" t="str">
        <v>IFPRI</v>
      </c>
      <c r="D31" s="4" t="str">
        <v>AW2P8: Social Protection for Inclusive Growth and Resilience in Fragile and Climate-Vulnerable Settings- Hold 1 stakeholder webinar on Mynamar</v>
      </c>
      <c r="E31" s="4" t="str">
        <v>Number of people trained (capacity sharing for development)</v>
      </c>
      <c r="F31" s="4" t="str">
        <v>Myanmar</v>
      </c>
      <c r="G31" s="5">
        <v>30</v>
      </c>
      <c r="H31" s="5">
        <v>12000</v>
      </c>
      <c r="I31" s="4" t="str">
        <v>Budget for training 30pax in Myanmar</v>
      </c>
      <c r="J31" s="4">
        <v>7922</v>
      </c>
    </row>
    <row r="32" ht="50" customHeight="1">
      <c r="A32" s="4" t="str">
        <v>AOW02: Fragile and Conflict-affected Food Systems</v>
      </c>
      <c r="B32" s="4" t="str">
        <v>IFPRI</v>
      </c>
      <c r="C32" s="4" t="str">
        <v>2.2.2 Respond</v>
      </c>
      <c r="D32" s="4" t="str">
        <v>Critical Capability_IFPRI: Impact evaluations for informing policies and programs in FCAs</v>
      </c>
      <c r="E32" s="4" t="str">
        <v>Number of knowledge products</v>
      </c>
      <c r="F32" s="4" t="str">
        <v>Ethiopia, The Republic of the Sudan, Nigeria</v>
      </c>
      <c r="G32" s="5">
        <v>3</v>
      </c>
      <c r="H32" s="5">
        <v>185239</v>
      </c>
      <c r="I32" s="4" t="str">
        <v>Costing covers staff time to design and conduct impact evaluations across Ethiopia, Sudan, and Nigeria, plus operational budget for field data collection, security and travel in fragile settings, and staff time to produce and disseminate three knowledge products (such as reports or briefs) that inform policies and programs in FCAs.</v>
      </c>
      <c r="J32" s="4">
        <v>6886</v>
      </c>
    </row>
    <row r="33" ht="50" customHeight="1">
      <c r="B33" s="4" t="str">
        <v>IFPRI</v>
      </c>
      <c r="D33" s="4" t="str">
        <v>AW2P4: Impact evaluation studies for informing policies and programs in FCAS- Impact evaluations for informing policies and programs in FCAS</v>
      </c>
      <c r="E33" s="4" t="str">
        <v>Number of knowledge products</v>
      </c>
      <c r="F33" s="4" t="str">
        <v>Nigeria, The Republic of the Sudan, Ethiopia</v>
      </c>
      <c r="G33" s="5">
        <v>3</v>
      </c>
      <c r="H33" s="5">
        <v>0</v>
      </c>
      <c r="I33" s="4" t="str">
        <v/>
      </c>
      <c r="J33" s="4">
        <v>7634</v>
      </c>
    </row>
    <row r="34" ht="50" customHeight="1">
      <c r="A34" s="4" t="str">
        <v>AOW02: Fragile and Conflict-affected Food Systems</v>
      </c>
      <c r="B34" s="4" t="str">
        <v>IFPRI</v>
      </c>
      <c r="C34" s="4" t="str">
        <v>2.3.3 Recover</v>
      </c>
      <c r="D34" s="4" t="str">
        <v>AW2P7: RENEW: Resilient Nature-Based Water Solutions for Food Systems and Women’s Empowerment - 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v>
      </c>
      <c r="E34" s="4" t="str">
        <v>Number of knowledge products</v>
      </c>
      <c r="F34" s="4" t="str">
        <v>Bangladesh, Nigeria, The Republic of the Sudan</v>
      </c>
      <c r="G34" s="5">
        <v>4</v>
      </c>
      <c r="H34" s="5">
        <v>0</v>
      </c>
      <c r="I34" s="4" t="str">
        <v/>
      </c>
      <c r="J34" s="4">
        <v>6899</v>
      </c>
    </row>
    <row r="35" ht="50" customHeight="1">
      <c r="B35" s="4" t="str">
        <v>IFPRI</v>
      </c>
      <c r="D35" s="4" t="str">
        <v>Produce and share at least 3 co-designed knowledge products (e.g., policy briefs or technical reports) developed with stakeholders and partners, with documented validation and dissemination.</v>
      </c>
      <c r="E35" s="4" t="str">
        <v>Number of knowledge products</v>
      </c>
      <c r="F35" s="4" t="str">
        <v>Nigeria, Kenya</v>
      </c>
      <c r="G35" s="5">
        <v>3</v>
      </c>
      <c r="H35" s="5">
        <v>0</v>
      </c>
      <c r="I35" s="4" t="str">
        <v/>
      </c>
      <c r="J35" s="4">
        <v>7343</v>
      </c>
    </row>
    <row r="36" ht="50" customHeight="1">
      <c r="B36" s="4" t="str">
        <v>IFPRI</v>
      </c>
      <c r="D36" s="4" t="str">
        <v>Develop and disseminate a minimum of6 knowledge products (policy briefs, toolkits, or technical reports) providing evidence and tools for application in agriculture, climate resilience, and food systems policy and planning by government and partner institutions.</v>
      </c>
      <c r="E36" s="4" t="str">
        <v>Number of knowledge products</v>
      </c>
      <c r="F36" s="4" t="str">
        <v>Nigeria, Kenya</v>
      </c>
      <c r="G36" s="5">
        <v>6</v>
      </c>
      <c r="H36" s="5">
        <v>0</v>
      </c>
      <c r="I36" s="4" t="str">
        <v/>
      </c>
      <c r="J36" s="4">
        <v>7344</v>
      </c>
    </row>
    <row r="37" ht="50" customHeight="1">
      <c r="B37" s="4" t="str">
        <v>IFPRI</v>
      </c>
      <c r="D37" s="4" t="str">
        <v>Number of individuals trained using knowledge products and through technical cooperation and technology transfer initiatives</v>
      </c>
      <c r="E37" s="4" t="str">
        <v>Number of people trained (capacity sharing for development)</v>
      </c>
      <c r="F37" s="4" t="str">
        <v>Nigeria, Kenya</v>
      </c>
      <c r="G37" s="5">
        <v>100</v>
      </c>
      <c r="H37" s="5">
        <v>0</v>
      </c>
      <c r="I37" s="4" t="str">
        <v/>
      </c>
      <c r="J37" s="4">
        <v>7345</v>
      </c>
    </row>
    <row r="38" ht="50" customHeight="1">
      <c r="B38" s="4" t="str">
        <v>IFPRI</v>
      </c>
      <c r="D38" s="4" t="str">
        <v>AW2P8: Social Protection for Inclusive Growth and Resilience in Fragile and Climate-Vulnerable Settings- KPI- Hold a Stakeholder policy seminar/webinar</v>
      </c>
      <c r="E38" s="4" t="str">
        <v>Number of people trained (capacity sharing for development)</v>
      </c>
      <c r="F38" s="4" t="str">
        <v>Kenya</v>
      </c>
      <c r="G38" s="5">
        <v>50</v>
      </c>
      <c r="H38" s="5">
        <v>0</v>
      </c>
      <c r="I38" s="4" t="str">
        <v/>
      </c>
      <c r="J38" s="4">
        <v>7670</v>
      </c>
    </row>
    <row r="39" ht="50" customHeight="1">
      <c r="B39" s="4" t="str">
        <v>IFPRI</v>
      </c>
      <c r="D39" s="4" t="str">
        <v>AW2P8: Social Protection for Inclusive Growth and Resilience in Fragile and Climate-Vulnerable Settings- Produce1 discussion paper on the impact of providing digitally-supported nutrition and agricultural information through the maternal and child cash transfer program in conflict-affected Myanmar</v>
      </c>
      <c r="E39" s="4" t="str">
        <v>Number of knowledge products</v>
      </c>
      <c r="F39" s="4" t="str">
        <v>Myanmar</v>
      </c>
      <c r="G39" s="5">
        <v>1</v>
      </c>
      <c r="H39" s="5">
        <v>36000</v>
      </c>
      <c r="I39" s="4" t="str">
        <v>COST OF PUBLISHING ONE KP</v>
      </c>
      <c r="J39" s="4">
        <v>7672</v>
      </c>
    </row>
    <row r="40" ht="50" customHeight="1">
      <c r="B40" s="4" t="str">
        <v>IFPRI</v>
      </c>
      <c r="D40" s="4" t="str">
        <v>AW2P11- Empowering Youth and Women for Resilient Livelihoods in Fragile Systems-Publish 3 discussion papers and generate 1 dataset generating evidence on effective approaches for improving livelihoods and aspirations of youth and women in fragile and conflict-affected food systems.</v>
      </c>
      <c r="E40" s="4" t="str">
        <v>Number of knowledge products</v>
      </c>
      <c r="F40" s="4" t="str">
        <v>Nigeria, Kenya</v>
      </c>
      <c r="G40" s="5">
        <v>3</v>
      </c>
      <c r="H40" s="5">
        <v>187000</v>
      </c>
      <c r="I40" s="4" t="str">
        <v>Costing covers staff time to analyze what works for livelihoods and aspirations in fragile food systems, plus operational budget for data collection, dataset cleaning and documentation, and staff time to write and disseminate three discussion papers.</v>
      </c>
      <c r="J40" s="4">
        <v>7923</v>
      </c>
    </row>
    <row r="41" ht="50" customHeight="1">
      <c r="B41" s="4" t="str">
        <v>IFPRI</v>
      </c>
      <c r="D41" s="4" t="str">
        <v>AW2P11: Empowering Youth and Women for Resilient Livelihoods in Fragile Systems- 3 policy briefs and 3 blogs on what works to improve livelihoods and aspirations in fragile and conflict-affected food systems.</v>
      </c>
      <c r="E41" s="4" t="str">
        <v>Number of knowledge products</v>
      </c>
      <c r="F41" s="4" t="str">
        <v>Nigeria, Kenya</v>
      </c>
      <c r="G41" s="5">
        <v>6</v>
      </c>
      <c r="H41" s="5">
        <v>25500</v>
      </c>
      <c r="I41" s="4" t="str">
        <v>Costing covers staff time to translate research findings into six accessible products, plus operational budget for graphic design, translation, and online dissemination to reach policymakers and partners.</v>
      </c>
      <c r="J41" s="4">
        <v>7924</v>
      </c>
    </row>
    <row r="42" ht="50" customHeight="1">
      <c r="B42" s="4" t="str">
        <v>IFPRI</v>
      </c>
      <c r="D42" s="4" t="str">
        <v xml:space="preserve"> AW2P11: Empowering Youth and Women for Resilient Livelihoods in Fragile Systems- KPI-Conduct 2 capacity-building workshops and co-organize 1 high-level event with the Ministry of Peace and regional leaders, reaching a minimum of 100 participants, with evidence of improved knowledge and skills.</v>
      </c>
      <c r="E42" s="4" t="str">
        <v>Number of people trained (capacity sharing for development)</v>
      </c>
      <c r="F42" s="4" t="str">
        <v>Nigeria, Kenya</v>
      </c>
      <c r="G42" s="5">
        <v>100</v>
      </c>
      <c r="H42" s="5">
        <v>25500</v>
      </c>
      <c r="I42" s="4" t="str">
        <v>Costing covers staff time to plan, facilitate, and run two workshops and one high-level event, plus operational budget for venue, travel, materials, and food for 100 trainees and regional leaders.</v>
      </c>
      <c r="J42" s="4">
        <v>7925</v>
      </c>
    </row>
    <row r="43" ht="50" customHeight="1">
      <c r="B43" s="4" t="str">
        <v>IFPRI</v>
      </c>
      <c r="D43" s="4" t="str">
        <v>AW2P8: Social Protection for Inclusive Growth and Resilience in Fragile and Climate- KPI- Conduct 1 Kenya EIP stakeholder workshop training at least 30 participants from government and non-government institutions, strengthening capacity to design and implement social protection interventions for inclusive growth and resilience.</v>
      </c>
      <c r="E43" s="4" t="str">
        <v>Number of people trained (capacity sharing for development)</v>
      </c>
      <c r="F43" s="4" t="str">
        <v>Kenya</v>
      </c>
      <c r="G43" s="5">
        <v>30</v>
      </c>
      <c r="H43" s="5">
        <v>0</v>
      </c>
      <c r="I43" s="4" t="str">
        <v/>
      </c>
      <c r="J43" s="4">
        <v>8233</v>
      </c>
    </row>
    <row r="44" ht="50" customHeight="1">
      <c r="B44" s="4" t="str">
        <v>IFPRI</v>
      </c>
      <c r="D44" s="4" t="str">
        <v>AW2P8: Social Protection for Inclusive Growth and Resilience in Fragile and Climate-Vulnerable Settings-- KPI- Develop and disseminate 1 discussion paper presenting impact evaluation findings of a maternal and child cash transfer program in conflict-affected Myanmar, generating evidence to inform social protection policy and program design in fragile settings.</v>
      </c>
      <c r="E44" s="4" t="str">
        <v>Number of knowledge products</v>
      </c>
      <c r="F44" s="4" t="str">
        <v>Myanmar, Bangladesh</v>
      </c>
      <c r="G44" s="5">
        <v>2</v>
      </c>
      <c r="H44" s="5">
        <v>0</v>
      </c>
      <c r="I44" s="4" t="str">
        <v/>
      </c>
      <c r="J44" s="4">
        <v>8234</v>
      </c>
    </row>
    <row r="45" ht="50" customHeight="1">
      <c r="B45" s="4" t="str">
        <v>IFPRI</v>
      </c>
      <c r="D45" s="4" t="str">
        <v>Conduct 1 policy dialogue/seminar on social protection in Bangladesh</v>
      </c>
      <c r="E45" s="4" t="str">
        <v>custom</v>
      </c>
      <c r="F45" s="4" t="str">
        <v>Bangladesh</v>
      </c>
      <c r="G45" s="5">
        <v>30</v>
      </c>
      <c r="H45" s="5">
        <v>0</v>
      </c>
      <c r="I45" s="4" t="str">
        <v/>
      </c>
      <c r="J45" s="4">
        <v>8235</v>
      </c>
    </row>
    <row r="46" ht="50" customHeight="1">
      <c r="B46" s="4" t="str">
        <v>IFPRI</v>
      </c>
      <c r="D46" s="4" t="str">
        <v>Hold 1 stakeholder workshop on social protection and climate resilience in Bangladesh</v>
      </c>
      <c r="E46" s="4" t="str">
        <v>Number of people trained (capacity sharing for development)</v>
      </c>
      <c r="F46" s="4" t="str">
        <v>Bangladesh</v>
      </c>
      <c r="G46" s="5">
        <v>30</v>
      </c>
      <c r="H46" s="5">
        <v>0</v>
      </c>
      <c r="I46" s="4" t="str">
        <v/>
      </c>
      <c r="J46" s="4">
        <v>8236</v>
      </c>
    </row>
    <row r="47" ht="50" customHeight="1">
      <c r="B47" s="4" t="str">
        <v>IFPRI</v>
      </c>
      <c r="D47" s="4" t="str">
        <v>AW2P10: Women’s Voice and Empowerment for Resilient Food Systems in Fragile Contexts- Knowledge product on the impacts of trainings on women's voice and empowerment and livelihoods and about the innovations' development and use + dissemination</v>
      </c>
      <c r="E47" s="4" t="str">
        <v>Number of knowledge products</v>
      </c>
      <c r="F47" s="4" t="str">
        <v>Nigeria</v>
      </c>
      <c r="G47" s="5">
        <v>2</v>
      </c>
      <c r="H47" s="5">
        <v>0</v>
      </c>
      <c r="I47" s="4" t="str">
        <v/>
      </c>
      <c r="J47" s="4">
        <v>8237</v>
      </c>
    </row>
    <row r="48" ht="50" customHeight="1">
      <c r="B48" s="4" t="str">
        <v>IFPRI</v>
      </c>
      <c r="D48" s="4" t="str">
        <v>Hold 1 workshop with key stakeholders and government partners</v>
      </c>
      <c r="E48" s="4" t="str">
        <v>Number of people trained (capacity sharing for development)</v>
      </c>
      <c r="F48" s="4" t="str">
        <v>Kenya</v>
      </c>
      <c r="G48" s="5">
        <v>50</v>
      </c>
      <c r="H48" s="5">
        <v>0</v>
      </c>
      <c r="I48" s="4" t="str">
        <v/>
      </c>
      <c r="J48" s="4">
        <v>8238</v>
      </c>
    </row>
    <row r="49" ht="50" customHeight="1">
      <c r="B49" s="4" t="str">
        <v>IFPRI</v>
      </c>
      <c r="D49" s="4" t="str">
        <v>AW2P10: Women’s Voice and Empowerment for Resilient Food Systems in Fragile Contexts- Knowledge product on how to make anticipatory action programming gender responsive</v>
      </c>
      <c r="E49" s="4" t="str">
        <v>Number of knowledge products</v>
      </c>
      <c r="F49" s="4" t="str">
        <v>Nigeria</v>
      </c>
      <c r="G49" s="5">
        <v>1</v>
      </c>
      <c r="H49" s="5">
        <v>0</v>
      </c>
      <c r="I49" s="4" t="str">
        <v/>
      </c>
      <c r="J49" s="4">
        <v>8239</v>
      </c>
    </row>
    <row r="50" ht="50" customHeight="1">
      <c r="B50" s="4" t="str">
        <v>IFPRI</v>
      </c>
      <c r="D50" s="4" t="str">
        <v>AW2P10: Women’s Voice and Empowerment for Resilient Food Systems in Fragile Contexts- Knowledge product on farmer-herder conflict's impacts in the Sahel, and how to promote women's empowerment amid active conflict</v>
      </c>
      <c r="E50" s="4" t="str">
        <v>Number of knowledge products</v>
      </c>
      <c r="F50" s="4" t="str">
        <v>Nigeria</v>
      </c>
      <c r="G50" s="5">
        <v>1</v>
      </c>
      <c r="H50" s="5">
        <v>0</v>
      </c>
      <c r="I50" s="4" t="str">
        <v/>
      </c>
      <c r="J50" s="4">
        <v>8240</v>
      </c>
    </row>
    <row r="51" ht="50" customHeight="1">
      <c r="B51" s="4" t="str">
        <v>IFPRI</v>
      </c>
      <c r="D51" s="4" t="str">
        <v>AW2P10: Women’s Voice and Empowerment for Resilient Food Systems in Fragile Contexts- Knowledge products plus a blog on the impact of inclusion interventions and implications for creating more sustainable food systems in Bangladesh</v>
      </c>
      <c r="E51" s="4" t="str">
        <v>Number of knowledge products</v>
      </c>
      <c r="F51" s="4" t="str">
        <v>Bangladesh</v>
      </c>
      <c r="G51" s="5">
        <v>3</v>
      </c>
      <c r="H51" s="5">
        <v>0</v>
      </c>
      <c r="I51" s="4" t="str">
        <v/>
      </c>
      <c r="J51" s="4">
        <v>8241</v>
      </c>
    </row>
    <row r="52" ht="50" customHeight="1">
      <c r="B52" s="4" t="str">
        <v>IFPRI</v>
      </c>
      <c r="D52" s="4" t="str">
        <v>AW2P10: Women’s Voice and Empowerment for Resilient Food Systems in Fragile Contexts- Hold a workshop with key stakeholders and government partners in Bangladesh</v>
      </c>
      <c r="E52" s="4" t="str">
        <v>Number of people trained (capacity sharing for development)</v>
      </c>
      <c r="F52" s="4" t="str">
        <v>Bangladesh</v>
      </c>
      <c r="G52" s="5">
        <v>100</v>
      </c>
      <c r="H52" s="5">
        <v>0</v>
      </c>
      <c r="I52" s="4" t="str">
        <v/>
      </c>
      <c r="J52" s="4">
        <v>8242</v>
      </c>
    </row>
    <row r="53" ht="50" customHeight="1">
      <c r="B53" s="4" t="str">
        <v>IFPRI</v>
      </c>
      <c r="D53" s="4" t="str">
        <v xml:space="preserve"> AW2P10: Women’s Voice and Empowerment for Resilient Food Systems in Fragile Contexts- KPI- Produce a set of inspirational video-based innovation products showcasing approaches that promote inclusion in fragile food systems, highlighting lessons on equity, participation, and scalable practices.</v>
      </c>
      <c r="E53" s="4" t="str">
        <v>Number of innovations (innovation development)</v>
      </c>
      <c r="F53" s="4" t="str">
        <v>Bangladesh</v>
      </c>
      <c r="G53" s="5">
        <v>2</v>
      </c>
      <c r="H53" s="5">
        <v>0</v>
      </c>
      <c r="I53" s="4" t="str">
        <v/>
      </c>
      <c r="J53" s="4">
        <v>8243</v>
      </c>
    </row>
    <row r="54" ht="50" customHeight="1">
      <c r="B54" s="4" t="str">
        <v>IFPRI</v>
      </c>
      <c r="D54" s="4" t="str">
        <v>AW2P8: Social Protection for Inclusive Growth and Resilience in Fragile and Climate-Vulnerable Settings- Discussion papers will examine the impacts of the EIP on livelihoods and gender dynamics.</v>
      </c>
      <c r="E54" s="4" t="str">
        <v>Number of knowledge products</v>
      </c>
      <c r="F54" s="4" t="str">
        <v>Kenya</v>
      </c>
      <c r="G54" s="5">
        <v>2</v>
      </c>
      <c r="H54" s="5">
        <v>0</v>
      </c>
      <c r="I54" s="4" t="str">
        <v/>
      </c>
      <c r="J54" s="4">
        <v>8244</v>
      </c>
    </row>
    <row r="55" ht="50" customHeight="1">
      <c r="B55" s="4" t="str">
        <v>IFPRI</v>
      </c>
      <c r="D55" s="4" t="str">
        <v>AW2P8: Social Protection for Inclusive Growth and Resilience in Fragile and Climate-Vulnerable Settings- Stakeholder policy seminar/webinar</v>
      </c>
      <c r="E55" s="4" t="str">
        <v>Number of people trained (capacity sharing for development)</v>
      </c>
      <c r="F55" s="4" t="str">
        <v>Somalia</v>
      </c>
      <c r="G55" s="5">
        <v>30</v>
      </c>
      <c r="H55" s="5">
        <v>0</v>
      </c>
      <c r="I55" s="4" t="str">
        <v/>
      </c>
      <c r="J55" s="4">
        <v>8245</v>
      </c>
    </row>
    <row r="56" ht="50" customHeight="1">
      <c r="B56" s="4" t="str">
        <v>IFPRI</v>
      </c>
      <c r="D56" s="4" t="str">
        <v>AW2P8: Social Protection for Inclusive Growth and Resilience in Fragile and Climate-Vulnerable Settings- KPI- Develop and disseminate 1 policy brief analyzing how formal and informal safety nets in Somalia stabilize livelihoods, support recovery, and build resilience among IDPs, particularly women, and present its findings in 1 policy seminar.</v>
      </c>
      <c r="E56" s="4" t="str">
        <v>Number of knowledge products</v>
      </c>
      <c r="F56" s="4" t="str">
        <v>Somalia</v>
      </c>
      <c r="G56" s="5">
        <v>1</v>
      </c>
      <c r="H56" s="5">
        <v>0</v>
      </c>
      <c r="I56" s="4" t="str">
        <v/>
      </c>
      <c r="J56" s="4">
        <v>8246</v>
      </c>
    </row>
    <row r="57" ht="50" customHeight="1">
      <c r="B57" s="4" t="str">
        <v>IFPRI</v>
      </c>
      <c r="D57" s="4" t="str">
        <v>AW2P8: Social Protection for Inclusive Growth and Resilience in Fragile and Climate-Vulnerable Settings- KPI: Generate 1 discussion paper analyzing 8-year post-program impacts of a social protection intervention on men’s and women’s livelihoods in Bangladesh, providing evidence to inform future social protection policy and program design.</v>
      </c>
      <c r="E57" s="4" t="str">
        <v>Number of knowledge products</v>
      </c>
      <c r="F57" s="4" t="str">
        <v>Bangladesh</v>
      </c>
      <c r="G57" s="5">
        <v>1</v>
      </c>
      <c r="H57" s="5">
        <v>0</v>
      </c>
      <c r="I57" s="4" t="str">
        <v/>
      </c>
      <c r="J57" s="4">
        <v>8247</v>
      </c>
    </row>
    <row r="58" ht="50" customHeight="1">
      <c r="B58" s="4" t="str">
        <v>IFPRI</v>
      </c>
      <c r="D58" s="4" t="str">
        <v>AW2P8: Social Protection for Inclusive Growth and Resilience in Fragile and Climate-- KPI- Conduct 1 policy seminar on Kenya’s EIP program that engages at least 40 participants from government and partner institutions, resulting in improved knowledge and capacity.</v>
      </c>
      <c r="E58" s="4" t="str">
        <v>Number of people trained (capacity sharing for development)</v>
      </c>
      <c r="F58" s="4" t="str">
        <v>Kenya</v>
      </c>
      <c r="G58" s="5">
        <v>40</v>
      </c>
      <c r="H58" s="5">
        <v>0</v>
      </c>
      <c r="I58" s="4" t="str">
        <v/>
      </c>
      <c r="J58" s="4">
        <v>8248</v>
      </c>
    </row>
    <row r="59" ht="25" customHeight="1">
      <c r="C59" s="9" t="str">
        <v>HLO budget subtotal</v>
      </c>
      <c r="H59" s="9">
        <v>1336513</v>
      </c>
      <c r="J59" s="9" t="str">
        <v/>
      </c>
    </row>
  </sheetData>
  <mergeCells count="16">
    <mergeCell ref="A1:A2"/>
    <mergeCell ref="B1:B2"/>
    <mergeCell ref="C1:C2"/>
    <mergeCell ref="D1:H1"/>
    <mergeCell ref="I1:I2"/>
    <mergeCell ref="J1:J2"/>
    <mergeCell ref="C3:C4"/>
    <mergeCell ref="C5:C7"/>
    <mergeCell ref="C8:C9"/>
    <mergeCell ref="C10:G10"/>
    <mergeCell ref="A3:A10"/>
    <mergeCell ref="C11:C31"/>
    <mergeCell ref="C32:C33"/>
    <mergeCell ref="C34:C58"/>
    <mergeCell ref="C59:G59"/>
    <mergeCell ref="A11:A59"/>
  </mergeCells>
  <ignoredErrors>
    <ignoredError numberStoredAsText="1" sqref="A1:J59"/>
  </ignoredErrors>
</worksheet>
</file>

<file path=xl/worksheets/sheet3.xml><?xml version="1.0" encoding="utf-8"?>
<worksheet xmlns="http://schemas.openxmlformats.org/spreadsheetml/2006/main" xmlns:r="http://schemas.openxmlformats.org/officeDocument/2006/relationships">
  <dimension ref="A1:G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Fragile and Conflict-affected Food Systems</v>
      </c>
      <c r="B2" s="4" t="str">
        <v>Action Aid International</v>
      </c>
      <c r="C2" s="4" t="str">
        <v>IFPRI</v>
      </c>
      <c r="D2" s="4" t="str">
        <v>Nigeria</v>
      </c>
      <c r="E2" s="5">
        <v>3000</v>
      </c>
      <c r="F2" s="4" t="str">
        <v>Partner will support the delivery of a Knowledge product on how to make anticipatory action programming gender responsive</v>
      </c>
      <c r="G2" s="4">
        <v>24</v>
      </c>
    </row>
    <row r="3" ht="50" customHeight="1">
      <c r="A3" s="4" t="str">
        <v>AOW02: Fragile and Conflict-affected Food Systems</v>
      </c>
      <c r="B3" s="4" t="str">
        <v>Federal Ministry of Humanitarian Affairs, Disaster Management and Social Development (Nigeria)</v>
      </c>
      <c r="C3" s="4" t="str">
        <v>IFPRI</v>
      </c>
      <c r="D3" s="4" t="str">
        <v>Nigeria</v>
      </c>
      <c r="E3" s="5">
        <v>20000</v>
      </c>
      <c r="F3" s="4" t="str">
        <v xml:space="preserve">Partner will support deliverables </v>
      </c>
      <c r="G3" s="4">
        <v>164</v>
      </c>
    </row>
    <row r="4" ht="50" customHeight="1">
      <c r="A4" s="4" t="str">
        <v>AOW02: Fragile and Conflict-affected Food Systems</v>
      </c>
      <c r="B4" s="4" t="str">
        <v>Government of Ethiopia</v>
      </c>
      <c r="C4" s="4" t="str">
        <v>IFPRI</v>
      </c>
      <c r="D4" s="4" t="str">
        <v>Ethiopia</v>
      </c>
      <c r="E4" s="5">
        <v>10000</v>
      </c>
      <c r="F4" s="4" t="str">
        <v xml:space="preserve">Partner will support deliverables </v>
      </c>
      <c r="G4" s="4">
        <v>165</v>
      </c>
    </row>
    <row r="5" ht="50" customHeight="1">
      <c r="A5" s="4" t="str">
        <v>AOW02: Fragile and Conflict-affected Food Systems</v>
      </c>
      <c r="B5" s="4" t="str">
        <v>University of Social Sciences and Management of Bamako</v>
      </c>
      <c r="C5" s="4" t="str">
        <v>IFPRI</v>
      </c>
      <c r="D5" s="4" t="str">
        <v>Mali</v>
      </c>
      <c r="E5" s="5">
        <v>10000</v>
      </c>
      <c r="F5" s="4" t="str">
        <v xml:space="preserve">Partner will support deliverables </v>
      </c>
      <c r="G5" s="4">
        <v>166</v>
      </c>
    </row>
    <row r="6" ht="50" customHeight="1" xml:space="preserve">
      <c r="A6" s="4" t="str">
        <v>AOW02: Fragile and Conflict-affected Food Systems</v>
      </c>
      <c r="B6" s="4" t="str">
        <v>Unknown Partner 1</v>
      </c>
      <c r="C6" s="4" t="str">
        <v>IFPRI</v>
      </c>
      <c r="D6" s="4" t="str">
        <v>Nigeria, Kenya</v>
      </c>
      <c r="E6" s="5">
        <v>20000</v>
      </c>
      <c r="F6" s="4" t="str" xml:space="preserve">
        <v xml:space="preserve">Partner will support delivery of Empowering Youth and Women for Resilient Livelihoods in Fragile Systems 2.3.3 Recover 	Two workshops; and 1 event co-organized with the Ministry of Peace and regional leaders.
</v>
      </c>
      <c r="G6" s="4">
        <v>582</v>
      </c>
    </row>
    <row r="7" ht="25" customHeight="1">
      <c r="B7" s="9" t="str">
        <v>Contracted partners subtotal</v>
      </c>
      <c r="E7" s="9">
        <v>63000</v>
      </c>
      <c r="F7" s="9" t="str">
        <v/>
      </c>
      <c r="G7" s="9" t="str">
        <v/>
      </c>
    </row>
  </sheetData>
  <mergeCells count="2">
    <mergeCell ref="B7:D7"/>
    <mergeCell ref="A2:A7"/>
  </mergeCells>
  <ignoredErrors>
    <ignoredError numberStoredAsText="1" sqref="A1:G7"/>
  </ignoredErrors>
</worksheet>
</file>

<file path=xl/worksheets/sheet4.xml><?xml version="1.0" encoding="utf-8"?>
<worksheet xmlns="http://schemas.openxmlformats.org/spreadsheetml/2006/main" xmlns:r="http://schemas.openxmlformats.org/officeDocument/2006/relationships">
  <dimension ref="A1:F8"/>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IFPRI</v>
      </c>
      <c r="B2" s="4" t="str">
        <v>2025P029</v>
      </c>
      <c r="C2" s="4" t="str">
        <v>2.1.1 Prevent</v>
      </c>
      <c r="D2" s="5">
        <v>1000000</v>
      </c>
      <c r="E2" s="4" t="str">
        <v>TBC</v>
      </c>
      <c r="F2" s="4">
        <v>1249</v>
      </c>
    </row>
    <row r="3" ht="60" customHeight="1">
      <c r="A3" s="4" t="str">
        <v>IFPRI</v>
      </c>
      <c r="B3" s="4" t="str">
        <v>N-601149-IPV RESEARCH COLLAB PH 2</v>
      </c>
      <c r="C3" s="4" t="str">
        <v>2.3.3 Recover</v>
      </c>
      <c r="D3" s="5">
        <v>437141</v>
      </c>
      <c r="E3" s="4" t="str">
        <v>TBC</v>
      </c>
      <c r="F3" s="4">
        <v>1253</v>
      </c>
    </row>
    <row r="4" ht="60" customHeight="1">
      <c r="A4" s="4" t="str">
        <v>IFPRI</v>
      </c>
      <c r="B4" s="4" t="str">
        <v>N-601158-SPIR II</v>
      </c>
      <c r="C4" s="4" t="str">
        <v>2.3.3 Recover</v>
      </c>
      <c r="D4" s="5">
        <v>2357597</v>
      </c>
      <c r="E4" s="4" t="str">
        <v>TBC</v>
      </c>
      <c r="F4" s="4">
        <v>1251</v>
      </c>
    </row>
    <row r="5" ht="60" customHeight="1">
      <c r="A5" s="4" t="str">
        <v>IFPRI</v>
      </c>
      <c r="B5" s="4" t="str">
        <v>N-602250-YEMEN FOOD SECURITY-YFSRR</v>
      </c>
      <c r="C5" s="4" t="str">
        <v>2.2.2 Respond</v>
      </c>
      <c r="D5" s="5">
        <v>553500</v>
      </c>
      <c r="E5" s="4" t="str">
        <v>TBC</v>
      </c>
      <c r="F5" s="4">
        <v>1250</v>
      </c>
    </row>
    <row r="6" ht="60" customHeight="1">
      <c r="A6" s="4" t="str">
        <v>IFPRI</v>
      </c>
      <c r="B6" s="4" t="str">
        <v>N-603217-FSP PHASE 4</v>
      </c>
      <c r="C6" s="4" t="str">
        <v>2.1.1 Prevent</v>
      </c>
      <c r="D6" s="5">
        <v>575211</v>
      </c>
      <c r="E6" s="4" t="str">
        <v>TBC</v>
      </c>
      <c r="F6" s="4">
        <v>1246</v>
      </c>
    </row>
    <row r="7" ht="60" customHeight="1">
      <c r="A7" s="4" t="str">
        <v>IFPRI</v>
      </c>
      <c r="B7" s="4" t="str">
        <v>N-641001-CASH 4 WORK-CfW SFD-LIWP</v>
      </c>
      <c r="C7" s="4" t="str">
        <v>2.3.3 Recover</v>
      </c>
      <c r="D7" s="5">
        <v>779084</v>
      </c>
      <c r="E7" s="4" t="str">
        <v>TBC</v>
      </c>
      <c r="F7" s="4">
        <v>1252</v>
      </c>
    </row>
    <row r="8" ht="25" customHeight="1">
      <c r="B8" s="9" t="str">
        <v>W3/Bilateral budget subtotal</v>
      </c>
      <c r="D8" s="9">
        <v>5702533</v>
      </c>
      <c r="E8" s="9" t="str">
        <v/>
      </c>
      <c r="F8" s="9" t="str">
        <v/>
      </c>
    </row>
  </sheetData>
  <mergeCells count="2">
    <mergeCell ref="B8:C8"/>
    <mergeCell ref="A2:A8"/>
  </mergeCells>
  <ignoredErrors>
    <ignoredError numberStoredAsText="1" sqref="A1:F8"/>
  </ignoredErrors>
</worksheet>
</file>

<file path=xl/worksheets/sheet5.xml><?xml version="1.0" encoding="utf-8"?>
<worksheet xmlns="http://schemas.openxmlformats.org/spreadsheetml/2006/main" xmlns:r="http://schemas.openxmlformats.org/officeDocument/2006/relationships">
  <dimension ref="A1:H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AOW02: Fragile and Conflict-affected Food Systems</v>
      </c>
      <c r="B2" s="4" t="str">
        <v>IFPRI</v>
      </c>
      <c r="C2" s="4" t="str">
        <v>Can Trainings on Women's Voice and Agency Raise Women's Aspirations, Entrepreneurial Activities, and Well-being? A Causal Impact Assessment From Rural Nigeria</v>
      </c>
      <c r="D2" s="4" t="str">
        <v>2.3 Programs and policies to promote recovery and stabilize livelihoods in fragile settings</v>
      </c>
      <c r="E2" s="4" t="str">
        <v>N/A</v>
      </c>
      <c r="F2" s="5">
        <v>162000</v>
      </c>
      <c r="G2" s="4" t="str">
        <v>Costing MELIA to analyze data from rural Nigeria, measure how trainings on women's voice and agency affect their aspirations, work, and well-being, and write and share the final report.</v>
      </c>
      <c r="H2" s="4">
        <v>426</v>
      </c>
    </row>
    <row r="3" ht="25" customHeight="1">
      <c r="C3" s="9" t="str">
        <v>MELIA budget subtotal</v>
      </c>
      <c r="F3" s="9">
        <v>162000</v>
      </c>
      <c r="G3" s="9" t="str">
        <v/>
      </c>
      <c r="H3" s="9" t="str">
        <v/>
      </c>
    </row>
  </sheetData>
  <mergeCells count="2">
    <mergeCell ref="C3:E3"/>
    <mergeCell ref="A2:A3"/>
  </mergeCells>
  <ignoredErrors>
    <ignoredError numberStoredAsText="1" sqref="A1:H3"/>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IFPRI</v>
      </c>
      <c r="C2" s="4" t="str">
        <v>Area of Work Leads</v>
      </c>
      <c r="D2" s="5">
        <v>16667</v>
      </c>
      <c r="E2" s="4" t="str">
        <v>AoW2 Co-lead costs Jan/Feb 2026</v>
      </c>
      <c r="F2" s="4">
        <v>60</v>
      </c>
      <c r="G2" s="4">
        <v>3</v>
      </c>
    </row>
    <row r="3" ht="25" customHeight="1">
      <c r="C3" s="9" t="str">
        <v>Cross-cutting budget subtotal</v>
      </c>
      <c r="D3" s="9">
        <v>16667</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16667</v>
      </c>
      <c r="C2" s="5">
        <v>180000</v>
      </c>
      <c r="D2" s="5">
        <v>1126413</v>
      </c>
      <c r="E2" s="5">
        <v>0</v>
      </c>
      <c r="F2" s="5">
        <v>0</v>
      </c>
      <c r="G2" s="5">
        <f>=SUM(B2:F2)</f>
        <v>0</v>
      </c>
    </row>
    <row r="3" ht="20" customHeight="1">
      <c r="A3" s="4" t="str">
        <v>Operations (supplies, consultants, travels, workshops, other)</v>
      </c>
      <c r="B3" s="5">
        <v>0</v>
      </c>
      <c r="C3" s="5">
        <v>41743</v>
      </c>
      <c r="D3" s="5">
        <v>147100</v>
      </c>
      <c r="E3" s="5">
        <v>0</v>
      </c>
      <c r="F3" s="5">
        <v>0</v>
      </c>
      <c r="G3" s="5">
        <f>=SUM(B3:F3)</f>
        <v>0</v>
      </c>
    </row>
    <row r="4" ht="20" customHeight="1">
      <c r="A4" s="4" t="str">
        <v>Collaborators non-CGIAR centers</v>
      </c>
      <c r="B4" s="5">
        <v>0</v>
      </c>
      <c r="C4" s="5">
        <v>0</v>
      </c>
      <c r="D4" s="5">
        <v>63000</v>
      </c>
      <c r="E4" s="5">
        <v>0</v>
      </c>
      <c r="F4" s="5">
        <v>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1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IFPRI</v>
      </c>
      <c r="C2" s="4" t="str">
        <v>United States of America</v>
      </c>
      <c r="D2" s="5">
        <v>100</v>
      </c>
      <c r="E2" s="4">
        <v>146</v>
      </c>
    </row>
    <row r="3" ht="45" customHeight="1">
      <c r="A3" s="8" t="str">
        <v>AOW01: Future Food Systems Lab</v>
      </c>
      <c r="B3" s="4" t="str">
        <v>IFPRI</v>
      </c>
      <c r="C3" s="4" t="str">
        <v>Bangladesh</v>
      </c>
      <c r="D3" s="5">
        <v>4</v>
      </c>
      <c r="E3" s="4">
        <v>73</v>
      </c>
    </row>
    <row r="4" ht="45" customHeight="1">
      <c r="A4" s="4" t="str">
        <v>AOW01: Future Food Systems Lab</v>
      </c>
      <c r="B4" s="4" t="str">
        <v>IFPRI</v>
      </c>
      <c r="C4" s="4" t="str">
        <v>Burkina Faso</v>
      </c>
      <c r="D4" s="5">
        <v>4</v>
      </c>
      <c r="E4" s="4">
        <v>74</v>
      </c>
    </row>
    <row r="5" ht="45" customHeight="1">
      <c r="A5" s="4" t="str">
        <v>AOW01: Future Food Systems Lab</v>
      </c>
      <c r="B5" s="4" t="str">
        <v>IFPRI</v>
      </c>
      <c r="C5" s="4" t="str">
        <v>Ethiopia</v>
      </c>
      <c r="D5" s="5">
        <v>4</v>
      </c>
      <c r="E5" s="4">
        <v>75</v>
      </c>
    </row>
    <row r="6" ht="45" customHeight="1">
      <c r="A6" s="4" t="str">
        <v>AOW01: Future Food Systems Lab</v>
      </c>
      <c r="B6" s="4" t="str">
        <v>IFPRI</v>
      </c>
      <c r="C6" s="4" t="str">
        <v>Mozambique</v>
      </c>
      <c r="D6" s="5">
        <v>4</v>
      </c>
      <c r="E6" s="4">
        <v>76</v>
      </c>
    </row>
    <row r="7" ht="45" customHeight="1">
      <c r="A7" s="4" t="str">
        <v>AOW01: Future Food Systems Lab</v>
      </c>
      <c r="B7" s="4" t="str">
        <v>IFPRI</v>
      </c>
      <c r="C7" s="4" t="str">
        <v>Nigeria</v>
      </c>
      <c r="D7" s="5">
        <v>44</v>
      </c>
      <c r="E7" s="4">
        <v>77</v>
      </c>
    </row>
    <row r="8" ht="45" customHeight="1">
      <c r="A8" s="4" t="str">
        <v>AOW01: Future Food Systems Lab</v>
      </c>
      <c r="B8" s="4" t="str">
        <v>IFPRI</v>
      </c>
      <c r="C8" s="4" t="str">
        <v>The Republic of the Sudan</v>
      </c>
      <c r="D8" s="5">
        <v>40</v>
      </c>
      <c r="E8" s="4">
        <v>78</v>
      </c>
    </row>
    <row r="9" ht="45" customHeight="1">
      <c r="A9" s="8" t="str">
        <v>AOW02: Fragile and Conflict-affected Food Systems</v>
      </c>
      <c r="B9" s="4" t="str">
        <v>IFPRI</v>
      </c>
      <c r="C9" s="4" t="str">
        <v>Bangladesh</v>
      </c>
      <c r="D9" s="5">
        <v>22</v>
      </c>
      <c r="E9" s="4">
        <v>2595</v>
      </c>
    </row>
    <row r="10" ht="45" customHeight="1">
      <c r="A10" s="4" t="str">
        <v>AOW02: Fragile and Conflict-affected Food Systems</v>
      </c>
      <c r="B10" s="4" t="str">
        <v>IFPRI</v>
      </c>
      <c r="C10" s="4" t="str">
        <v>Ethiopia</v>
      </c>
      <c r="D10" s="5">
        <v>5</v>
      </c>
      <c r="E10" s="4">
        <v>2598</v>
      </c>
    </row>
    <row r="11" ht="45" customHeight="1">
      <c r="A11" s="4" t="str">
        <v>AOW02: Fragile and Conflict-affected Food Systems</v>
      </c>
      <c r="B11" s="4" t="str">
        <v>IFPRI</v>
      </c>
      <c r="C11" s="4" t="str">
        <v>Kenya</v>
      </c>
      <c r="D11" s="5">
        <v>24</v>
      </c>
      <c r="E11" s="4">
        <v>2594</v>
      </c>
    </row>
    <row r="12" ht="45" customHeight="1">
      <c r="A12" s="4" t="str">
        <v>AOW02: Fragile and Conflict-affected Food Systems</v>
      </c>
      <c r="B12" s="4" t="str">
        <v>IFPRI</v>
      </c>
      <c r="C12" s="4" t="str">
        <v>Mali</v>
      </c>
      <c r="D12" s="5">
        <v>3</v>
      </c>
      <c r="E12" s="4">
        <v>2599</v>
      </c>
    </row>
    <row r="13" ht="45" customHeight="1">
      <c r="A13" s="4" t="str">
        <v>AOW02: Fragile and Conflict-affected Food Systems</v>
      </c>
      <c r="B13" s="4" t="str">
        <v>IFPRI</v>
      </c>
      <c r="C13" s="4" t="str">
        <v>Myanmar</v>
      </c>
      <c r="D13" s="5">
        <v>9</v>
      </c>
      <c r="E13" s="4">
        <v>2596</v>
      </c>
    </row>
    <row r="14" ht="45" customHeight="1">
      <c r="A14" s="4" t="str">
        <v>AOW02: Fragile and Conflict-affected Food Systems</v>
      </c>
      <c r="B14" s="4" t="str">
        <v>IFPRI</v>
      </c>
      <c r="C14" s="4" t="str">
        <v>Nigeria</v>
      </c>
      <c r="D14" s="5">
        <v>27</v>
      </c>
      <c r="E14" s="4">
        <v>2593</v>
      </c>
    </row>
    <row r="15" ht="45" customHeight="1">
      <c r="A15" s="4" t="str">
        <v>AOW02: Fragile and Conflict-affected Food Systems</v>
      </c>
      <c r="B15" s="4" t="str">
        <v>IFPRI</v>
      </c>
      <c r="C15" s="4" t="str">
        <v>Somalia</v>
      </c>
      <c r="D15" s="5">
        <v>6</v>
      </c>
      <c r="E15" s="4">
        <v>2597</v>
      </c>
    </row>
    <row r="16" ht="45" customHeight="1">
      <c r="A16" s="4" t="str">
        <v>AOW02: Fragile and Conflict-affected Food Systems</v>
      </c>
      <c r="B16" s="4" t="str">
        <v>IFPRI</v>
      </c>
      <c r="C16" s="4" t="str">
        <v>The Republic of the Sudan</v>
      </c>
      <c r="D16" s="5">
        <v>4</v>
      </c>
      <c r="E16" s="4">
        <v>2600</v>
      </c>
    </row>
  </sheetData>
  <mergeCells count="3">
    <mergeCell ref="A2"/>
    <mergeCell ref="A3:A8"/>
    <mergeCell ref="A9:A16"/>
  </mergeCells>
  <ignoredErrors>
    <ignoredError numberStoredAsText="1" sqref="A1:E16"/>
  </ignoredErrors>
</worksheet>
</file>

<file path=xl/worksheets/sheet9.xml><?xml version="1.0" encoding="utf-8"?>
<worksheet xmlns="http://schemas.openxmlformats.org/spreadsheetml/2006/main" xmlns:r="http://schemas.openxmlformats.org/officeDocument/2006/relationships">
  <dimension ref="A1:F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IFPRI</v>
      </c>
      <c r="C2" s="4" t="str">
        <v>Global</v>
      </c>
      <c r="D2" s="4" t="str">
        <v>global</v>
      </c>
      <c r="E2" s="5">
        <v>100</v>
      </c>
      <c r="F2" s="4">
        <v>129</v>
      </c>
    </row>
    <row r="3" ht="45" customHeight="1">
      <c r="A3" s="8" t="str">
        <v>AOW01: Future Food Systems Lab</v>
      </c>
      <c r="B3" s="4" t="str">
        <v>IFPRI</v>
      </c>
      <c r="C3" s="4" t="str">
        <v>Global</v>
      </c>
      <c r="D3" s="4" t="str">
        <v>global</v>
      </c>
      <c r="E3" s="5">
        <v>100</v>
      </c>
      <c r="F3" s="4">
        <v>93</v>
      </c>
    </row>
    <row r="4" ht="45" customHeight="1">
      <c r="A4" s="8" t="str">
        <v>AOW02: Fragile and Conflict-affected Food Systems</v>
      </c>
      <c r="B4" s="4" t="str">
        <v>IFPRI</v>
      </c>
      <c r="C4" s="4" t="str">
        <v>Global</v>
      </c>
      <c r="D4" s="4" t="str">
        <v>global</v>
      </c>
      <c r="E4" s="5">
        <v>100</v>
      </c>
      <c r="F4" s="4">
        <v>921</v>
      </c>
    </row>
  </sheetData>
  <mergeCells count="3">
    <mergeCell ref="A2"/>
    <mergeCell ref="A3"/>
    <mergeCell ref="A4"/>
  </mergeCells>
  <ignoredErrors>
    <ignoredError numberStoredAsText="1" sqref="A1:F4"/>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