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230</v>
      </c>
    </row>
    <row r="5" ht="20" customHeight="1">
      <c r="A5" s="4" t="str">
        <v>AOW01: Future Food Systems Lab</v>
      </c>
      <c r="B5" s="5">
        <v>0</v>
      </c>
      <c r="C5" s="5">
        <v>0</v>
      </c>
      <c r="D5" s="5">
        <v>1</v>
      </c>
      <c r="E5" s="5">
        <v>20000</v>
      </c>
      <c r="F5" s="5">
        <v>0</v>
      </c>
      <c r="G5" s="5">
        <v>0</v>
      </c>
      <c r="H5" s="5">
        <v>0</v>
      </c>
      <c r="I5" s="5">
        <v>0</v>
      </c>
      <c r="J5" s="5">
        <v>20000</v>
      </c>
      <c r="K5" s="5">
        <v>20000</v>
      </c>
      <c r="L5" s="5">
        <v>0</v>
      </c>
      <c r="M5" s="5">
        <v>0</v>
      </c>
      <c r="N5" s="4">
        <v>226</v>
      </c>
    </row>
    <row r="6" ht="20" customHeight="1">
      <c r="A6" s="4" t="str">
        <v>AOW02: Fragile and Conflict-affected Food Systems</v>
      </c>
      <c r="B6" s="5">
        <v>0</v>
      </c>
      <c r="C6" s="5">
        <v>0</v>
      </c>
      <c r="D6" s="5">
        <v>0</v>
      </c>
      <c r="E6" s="5">
        <v>0</v>
      </c>
      <c r="F6" s="5">
        <v>0</v>
      </c>
      <c r="G6" s="5">
        <v>0</v>
      </c>
      <c r="H6" s="5">
        <v>0</v>
      </c>
      <c r="I6" s="5">
        <v>0</v>
      </c>
      <c r="J6" s="5">
        <v>0</v>
      </c>
      <c r="K6" s="5">
        <v>0</v>
      </c>
      <c r="L6" s="5">
        <v>0</v>
      </c>
      <c r="M6" s="5">
        <v>0</v>
      </c>
      <c r="N6" s="4">
        <v>228</v>
      </c>
    </row>
    <row r="7" ht="20" customHeight="1">
      <c r="A7" s="4" t="str">
        <v>AOW03: Urban Food Systems</v>
      </c>
      <c r="B7" s="5">
        <v>0</v>
      </c>
      <c r="C7" s="5">
        <v>0</v>
      </c>
      <c r="D7" s="5">
        <v>0</v>
      </c>
      <c r="E7" s="5">
        <v>0</v>
      </c>
      <c r="F7" s="5">
        <v>0</v>
      </c>
      <c r="G7" s="5">
        <v>0</v>
      </c>
      <c r="H7" s="5">
        <v>0</v>
      </c>
      <c r="I7" s="5">
        <v>0</v>
      </c>
      <c r="J7" s="5">
        <v>0</v>
      </c>
      <c r="K7" s="5">
        <v>0</v>
      </c>
      <c r="L7" s="5">
        <v>0</v>
      </c>
      <c r="M7" s="5">
        <v>0</v>
      </c>
      <c r="N7" s="4">
        <v>227</v>
      </c>
    </row>
    <row r="8" ht="20" customHeight="1">
      <c r="A8" s="4" t="str">
        <v>AOW04: Island Food Systems</v>
      </c>
      <c r="B8" s="5">
        <v>0</v>
      </c>
      <c r="C8" s="5">
        <v>0</v>
      </c>
      <c r="D8" s="5">
        <v>0</v>
      </c>
      <c r="E8" s="5">
        <v>0</v>
      </c>
      <c r="F8" s="5">
        <v>0</v>
      </c>
      <c r="G8" s="5">
        <v>0</v>
      </c>
      <c r="H8" s="5">
        <v>0</v>
      </c>
      <c r="I8" s="5">
        <v>0</v>
      </c>
      <c r="J8" s="5">
        <v>0</v>
      </c>
      <c r="K8" s="5">
        <v>0</v>
      </c>
      <c r="L8" s="5">
        <v>0</v>
      </c>
      <c r="M8" s="5">
        <v>0</v>
      </c>
      <c r="N8" s="4">
        <v>229</v>
      </c>
    </row>
    <row r="9" ht="25" customHeight="1">
      <c r="A9" s="6" t="str">
        <v>Total</v>
      </c>
      <c r="B9" s="7" t="str">
        <v/>
      </c>
      <c r="C9" s="7">
        <v>0</v>
      </c>
      <c r="D9" s="7" t="str">
        <v/>
      </c>
      <c r="E9" s="7">
        <v>20000</v>
      </c>
      <c r="F9" s="7" t="str">
        <v/>
      </c>
      <c r="G9" s="7">
        <v>0</v>
      </c>
      <c r="H9" s="7" t="str">
        <v/>
      </c>
      <c r="I9" s="7">
        <v>0</v>
      </c>
      <c r="J9" s="7">
        <v>20000</v>
      </c>
      <c r="K9" s="7">
        <v>20000</v>
      </c>
      <c r="L9" s="7">
        <v>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4"/>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Future Food Systems Lab</v>
      </c>
      <c r="B3" s="4" t="str">
        <v>AfricaRice</v>
      </c>
      <c r="C3" s="4" t="str">
        <v>1.1.1 Envisioning Food System Futures</v>
      </c>
      <c r="D3" s="4" t="str">
        <v>AW1P7: FCAS Operational Strategy - KPI-Develop and disseminate at least 1 case study from FCAS portfolio that generate actionable evidence on conflict sensitivity, partnership models, and delivery approaches to inform the FCAS Operational Strategy and context-specific implementation.</v>
      </c>
      <c r="E3" s="4" t="str">
        <v>Number of knowledge products</v>
      </c>
      <c r="F3" s="4" t="str">
        <v>Kenya</v>
      </c>
      <c r="G3" s="5">
        <v>1</v>
      </c>
      <c r="H3" s="5">
        <v>20000</v>
      </c>
      <c r="I3" s="4" t="str">
        <v>New budget allocation to AfricaRice to deliver on the FCAS PoD. This budget has been reduced from ILRI's allocation on FCAS</v>
      </c>
      <c r="J3" s="4">
        <v>8350</v>
      </c>
    </row>
    <row r="4" ht="25" customHeight="1">
      <c r="C4" s="9" t="str">
        <v>HLO budget subtotal</v>
      </c>
      <c r="H4" s="9">
        <v>20000</v>
      </c>
      <c r="J4" s="9" t="str">
        <v/>
      </c>
    </row>
  </sheetData>
  <mergeCells count="8">
    <mergeCell ref="A1:A2"/>
    <mergeCell ref="B1:B2"/>
    <mergeCell ref="C1:C2"/>
    <mergeCell ref="D1:H1"/>
    <mergeCell ref="I1:I2"/>
    <mergeCell ref="J1:J2"/>
    <mergeCell ref="C4:G4"/>
    <mergeCell ref="A3:A4"/>
  </mergeCells>
  <ignoredErrors>
    <ignoredError numberStoredAsText="1" sqref="A1:J4"/>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G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0</v>
      </c>
      <c r="C2" s="5">
        <v>20000</v>
      </c>
      <c r="D2" s="5">
        <v>0</v>
      </c>
      <c r="E2" s="5">
        <v>0</v>
      </c>
      <c r="F2" s="5">
        <v>0</v>
      </c>
      <c r="G2" s="5">
        <f>=SUM(B2:F2)</f>
        <v>0</v>
      </c>
    </row>
    <row r="3" ht="20" customHeight="1">
      <c r="A3" s="4" t="str">
        <v>Operations (supplies, consultants, travels, workshops, other)</v>
      </c>
      <c r="B3" s="5">
        <v>0</v>
      </c>
      <c r="C3" s="5">
        <v>0</v>
      </c>
      <c r="D3" s="5">
        <v>0</v>
      </c>
      <c r="E3" s="5">
        <v>0</v>
      </c>
      <c r="F3" s="5">
        <v>0</v>
      </c>
      <c r="G3" s="5">
        <f>=SUM(B3:F3)</f>
        <v>0</v>
      </c>
    </row>
    <row r="4" ht="20" customHeight="1">
      <c r="A4" s="6" t="str">
        <v>Subtotal</v>
      </c>
      <c r="B4" s="7">
        <f>=SUM(B2:B3)</f>
        <v>0</v>
      </c>
      <c r="C4" s="7">
        <f>=SUM(C2:C3)</f>
        <v>0</v>
      </c>
      <c r="D4" s="7">
        <f>=SUM(D2:D3)</f>
        <v>0</v>
      </c>
      <c r="E4" s="7">
        <f>=SUM(E2:E3)</f>
        <v>0</v>
      </c>
      <c r="F4" s="7">
        <f>=SUM(F2:F3)</f>
        <v>0</v>
      </c>
      <c r="G4" s="7">
        <f>=SUM(G2:G3)</f>
        <v>0</v>
      </c>
    </row>
  </sheetData>
  <ignoredErrors>
    <ignoredError numberStoredAsText="1" sqref="A1:G4"/>
  </ignoredErrors>
</worksheet>
</file>

<file path=xl/worksheets/sheet8.xml><?xml version="1.0" encoding="utf-8"?>
<worksheet xmlns="http://schemas.openxmlformats.org/spreadsheetml/2006/main" xmlns:r="http://schemas.openxmlformats.org/officeDocument/2006/relationships">
  <dimension ref="A1:E2"/>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Future Food Systems Lab</v>
      </c>
      <c r="B2" s="4" t="str">
        <v>AfricaRice</v>
      </c>
      <c r="C2" s="4" t="str">
        <v>Kenya</v>
      </c>
      <c r="D2" s="5">
        <v>100</v>
      </c>
      <c r="E2" s="4">
        <v>3417</v>
      </c>
    </row>
  </sheetData>
  <mergeCells count="1">
    <mergeCell ref="A2"/>
  </mergeCells>
  <ignoredErrors>
    <ignoredError numberStoredAsText="1" sqref="A1:E2"/>
  </ignoredErrors>
</worksheet>
</file>

<file path=xl/worksheets/sheet9.xml><?xml version="1.0" encoding="utf-8"?>
<worksheet xmlns="http://schemas.openxmlformats.org/spreadsheetml/2006/main" xmlns:r="http://schemas.openxmlformats.org/officeDocument/2006/relationships">
  <dimension ref="A1:F2"/>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Future Food Systems Lab</v>
      </c>
      <c r="B2" s="4" t="str">
        <v>AfricaRice</v>
      </c>
      <c r="C2" s="4" t="str">
        <v>Global</v>
      </c>
      <c r="D2" s="4" t="str">
        <v>global</v>
      </c>
      <c r="E2" s="5">
        <v>100</v>
      </c>
      <c r="F2" s="4">
        <v>1720</v>
      </c>
    </row>
  </sheetData>
  <mergeCells count="1">
    <mergeCell ref="A2"/>
  </mergeCells>
  <ignoredErrors>
    <ignoredError numberStoredAsText="1" sqref="A1:F2"/>
  </ignoredErrors>
</worksheet>
</file>

<file path=xl/worksheets/sheet10.xml><?xml version="1.0" encoding="utf-8"?>
<worksheet xmlns="http://schemas.openxmlformats.org/spreadsheetml/2006/main" xmlns:r="http://schemas.openxmlformats.org/officeDocument/2006/relationships">
  <dimension ref="A1:E1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Future Food Systems Lab</v>
      </c>
      <c r="B2" s="4" t="str">
        <v>Policy Innovations</v>
      </c>
      <c r="C2" s="4" t="str">
        <v>1.1.1 Envisioning Food System Futures</v>
      </c>
      <c r="D2" s="4" t="str">
        <v>Foresight and Rapid Response Modeling System - Critical Capability</v>
      </c>
      <c r="E2" s="4">
        <v>1264</v>
      </c>
    </row>
    <row r="3" ht="60" customHeight="1">
      <c r="A3" s="4" t="str">
        <v>AOW01: Future Food Systems Lab</v>
      </c>
      <c r="B3" s="4" t="str">
        <v>Policy Innovations</v>
      </c>
      <c r="C3" s="4" t="str">
        <v>1.1.1 Envisioning Food System Futures</v>
      </c>
      <c r="D3" s="4" t="str">
        <v>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v>
      </c>
      <c r="E3" s="4">
        <v>1265</v>
      </c>
    </row>
    <row r="4" ht="60" customHeight="1">
      <c r="A4" s="4" t="str">
        <v>AOW01: Future Food Systems Lab</v>
      </c>
      <c r="B4" s="4" t="str">
        <v>Climate Action</v>
      </c>
      <c r="C4" s="4" t="str">
        <v>1.1.1 Envisioning Food System Futures</v>
      </c>
      <c r="D4" s="4" t="str">
        <v>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v>
      </c>
      <c r="E4" s="4">
        <v>1266</v>
      </c>
    </row>
    <row r="5" ht="60" customHeight="1">
      <c r="A5" s="4" t="str">
        <v>AOW01: Future Food Systems Lab</v>
      </c>
      <c r="B5" s="4" t="str">
        <v>Policy Innovations</v>
      </c>
      <c r="C5" s="4" t="str">
        <v>1.2.2 Evidence Synthesis and Adaptive Learning</v>
      </c>
      <c r="D5" s="4" t="str">
        <v>During development of knowledge products, engagement with the P/As will be maintained. There are also key potential synergies with the policy and nutrition science SPs.</v>
      </c>
      <c r="E5" s="4">
        <v>1267</v>
      </c>
    </row>
    <row r="6" ht="60" customHeight="1">
      <c r="A6" s="4" t="str">
        <v>AOW01: Future Food Systems Lab</v>
      </c>
      <c r="B6" s="4" t="str">
        <v xml:space="preserve">Multifunctional Landscapes </v>
      </c>
      <c r="C6" s="4" t="str">
        <v>1.2.2 Evidence Synthesis and Adaptive Learning</v>
      </c>
      <c r="D6" s="4" t="str">
        <v>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v>
      </c>
      <c r="E6" s="4">
        <v>1268</v>
      </c>
    </row>
    <row r="7" ht="60" customHeight="1">
      <c r="A7" s="4" t="str">
        <v>AOW01: Future Food Systems Lab</v>
      </c>
      <c r="B7" s="4" t="str">
        <v xml:space="preserve">Gender Equality and Inclusion </v>
      </c>
      <c r="C7" s="4" t="str">
        <v>1.2.2 Evidence Synthesis and Adaptive Learning</v>
      </c>
      <c r="D7" s="4" t="str">
        <v>FLEX series connects with the Gender Accelerator, spotlighting women-led innovations and gender-responsive approaches.</v>
      </c>
      <c r="E7" s="4">
        <v>1269</v>
      </c>
    </row>
    <row r="8" ht="60" customHeight="1">
      <c r="A8" s="4" t="str">
        <v>AOW01: Future Food Systems Lab</v>
      </c>
      <c r="B8" s="4" t="str">
        <v>Capacity Sharing</v>
      </c>
      <c r="C8" s="4" t="str">
        <v>1.2.2 Evidence Synthesis and Adaptive Learning</v>
      </c>
      <c r="D8" s="4" t="str">
        <v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v>
      </c>
      <c r="E8" s="4">
        <v>1270</v>
      </c>
    </row>
    <row r="9" ht="60" customHeight="1">
      <c r="A9" s="4" t="str">
        <v>AOW01: Future Food Systems Lab</v>
      </c>
      <c r="B9" s="4" t="str">
        <v>Scaling for Impact</v>
      </c>
      <c r="C9" s="4" t="str">
        <v>1.2.2 Evidence Synthesis and Adaptive Learning</v>
      </c>
      <c r="D9" s="4" t="str">
        <v>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v>
      </c>
      <c r="E9" s="4">
        <v>1271</v>
      </c>
    </row>
    <row r="10" ht="60" customHeight="1">
      <c r="A10" s="8" t="str">
        <v>AOW02: Fragile and Conflict-affected Food Systems</v>
      </c>
      <c r="B10" s="4" t="str">
        <v xml:space="preserve">Digital Transformation </v>
      </c>
      <c r="C10" s="4" t="str">
        <v>2.1.1 Prevent</v>
      </c>
      <c r="D10" s="4" t="str">
        <v>Together with DTA AA we will integrate innovations, tools and big data to monitor, assess and anticipate human mobility in times of crises globally and with a specific focus on FCAs.</v>
      </c>
      <c r="E10" s="4">
        <v>1272</v>
      </c>
    </row>
    <row r="11" ht="60" customHeight="1">
      <c r="A11" s="4" t="str">
        <v>AOW02: Fragile and Conflict-affected Food Systems</v>
      </c>
      <c r="B11" s="4" t="str">
        <v xml:space="preserve">Gender Equality and Inclusion </v>
      </c>
      <c r="C11" s="4" t="str">
        <v>2.1.1 Prevent</v>
      </c>
      <c r="D11" s="4" t="str">
        <v>This is a critical piece of work with strong demand for UNHCR. It will be carried out in collaboration with the Climate Action AoW1 and GEI, linking with the new Climate Data Hub and scaling data/processes/tools to FCAs.</v>
      </c>
      <c r="E11" s="4">
        <v>1273</v>
      </c>
    </row>
    <row r="12" ht="60" customHeight="1">
      <c r="A12" s="4" t="str">
        <v>AOW02: Fragile and Conflict-affected Food Systems</v>
      </c>
      <c r="B12" s="4" t="str">
        <v>Climate Action</v>
      </c>
      <c r="C12" s="4" t="str">
        <v>2.1.1 Prevent</v>
      </c>
      <c r="D12" s="4" t="str">
        <v>Will work with AoW2 of Climate Action to leverage and tailor EWS and AA to FCAs. It will help scaling CGIAR innovations into FCAs in a conflict sensitive and peace positive way.</v>
      </c>
      <c r="E12" s="4">
        <v>1274</v>
      </c>
    </row>
    <row r="13" ht="60" customHeight="1">
      <c r="A13" s="4" t="str">
        <v>AOW02: Fragile and Conflict-affected Food Systems</v>
      </c>
      <c r="B13" s="4" t="str">
        <v xml:space="preserve">Digital Transformation </v>
      </c>
      <c r="C13" s="4" t="str">
        <v>2.2.2 Respond</v>
      </c>
      <c r="D13" s="4" t="str">
        <v>Together we will develop an innovative dashboard to anticipate food security crises using underutilized data.</v>
      </c>
      <c r="E13" s="4">
        <v>1275</v>
      </c>
    </row>
    <row r="14" ht="60" customHeight="1">
      <c r="A14" s="4" t="str">
        <v>AOW02: Fragile and Conflict-affected Food Systems</v>
      </c>
      <c r="B14" s="4" t="str">
        <v xml:space="preserve">Multifunctional Landscapes </v>
      </c>
      <c r="C14" s="4" t="str">
        <v>2.3.3 Recover</v>
      </c>
      <c r="D14" s="4" t="str">
        <v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v>
      </c>
      <c r="E14" s="4">
        <v>1276</v>
      </c>
    </row>
    <row r="15" ht="60" customHeight="1">
      <c r="A15" s="8" t="str">
        <v>AOW03: Urban Food Systems</v>
      </c>
      <c r="B15" s="4" t="str">
        <v xml:space="preserve">Digital Transformation </v>
      </c>
      <c r="C15" s="4" t="str">
        <v>3.3.3 Informal food markets</v>
      </c>
      <c r="D15" s="4" t="str">
        <v>Building digital platform for traceability and logistics management of rescued produce from farms</v>
      </c>
      <c r="E15" s="4">
        <v>1278</v>
      </c>
    </row>
    <row r="16" ht="60" customHeight="1">
      <c r="A16" s="4" t="str">
        <v>AOW03: Urban Food Systems</v>
      </c>
      <c r="B16" s="4" t="str">
        <v>Scaling for Impact</v>
      </c>
      <c r="C16" s="4" t="str">
        <v>3.3.3 Informal food markets</v>
      </c>
      <c r="D16" s="4" t="str">
        <v>Working on sustainable business plan for the community food bank model</v>
      </c>
      <c r="E16" s="4">
        <v>1279</v>
      </c>
    </row>
    <row r="17" ht="60" customHeight="1">
      <c r="A17" s="4" t="str">
        <v>AOW03: Urban Food Systems</v>
      </c>
      <c r="B17" s="4" t="str">
        <v>Scaling for Impact</v>
      </c>
      <c r="C17" s="4" t="str">
        <v>3.4.4 Healthy diets</v>
      </c>
      <c r="D17" s="4" t="str">
        <v>Building business models for inclusive informal food markets</v>
      </c>
      <c r="E17" s="4">
        <v>1280</v>
      </c>
    </row>
    <row r="18" ht="60" customHeight="1">
      <c r="A18" s="4" t="str">
        <v>AOW03: Urban Food Systems</v>
      </c>
      <c r="B18" s="4" t="str">
        <v>Policy Innovations</v>
      </c>
      <c r="C18" s="4" t="str">
        <v>3.5.5 Urban food systems governance</v>
      </c>
      <c r="D18" s="4" t="str">
        <v>Working on a policy document for responsible scaling of community food banks for food rescue in Lima and other intermediate cities in Peru.</v>
      </c>
      <c r="E18" s="4">
        <v>1281</v>
      </c>
    </row>
    <row r="19" ht="60" customHeight="1">
      <c r="A19" s="4" t="str">
        <v>AOW04: Island Food Systems</v>
      </c>
      <c r="B19" s="4" t="str">
        <v>Genebank</v>
      </c>
      <c r="C19" s="4" t="str">
        <v>4.1.1 SUSTAINABILITY</v>
      </c>
      <c r="D19" s="4" t="str">
        <v>Resourcing of World Vegetable Centre capacity sharing for SPC genebanks and land resources division engagement. This work connects with the Genebanks program and its engagement with Pacific institutions</v>
      </c>
      <c r="E19" s="4">
        <v>1277</v>
      </c>
    </row>
  </sheetData>
  <mergeCells count="3">
    <mergeCell ref="A2:A9"/>
    <mergeCell ref="A10:A14"/>
    <mergeCell ref="A15:A18"/>
  </mergeCells>
  <ignoredErrors>
    <ignoredError numberStoredAsText="1" sqref="A1:E19"/>
  </ignoredErrors>
</worksheet>
</file>

<file path=xl/worksheets/sheet11.xml><?xml version="1.0" encoding="utf-8"?>
<worksheet xmlns="http://schemas.openxmlformats.org/spreadsheetml/2006/main" xmlns:r="http://schemas.openxmlformats.org/officeDocument/2006/relationships">
  <dimension ref="A1:G3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xml:space="preserve">
      <c r="A2" s="8" t="str">
        <v>AOW00: Cross Cutting</v>
      </c>
      <c r="B2" s="4" t="str" xml:space="preserve">
        <v xml:space="preserve">Stakeholders scale innovations for strengthening the resilience of frontier food systems.
</v>
      </c>
      <c r="C2" s="4" t="str">
        <v/>
      </c>
      <c r="D2" s="4" t="str">
        <v>Innovation Use</v>
      </c>
      <c r="E2" s="4" t="str">
        <v>Country: Bangladesh, Ethiopia, Kenya, Kiribati, Papua New Guinea, Peru, Philippines, Solomon Islands, Timor-Leste, Tonga, Vanuatu</v>
      </c>
      <c r="F2" s="5">
        <v>0</v>
      </c>
      <c r="G2" s="4">
        <v>711</v>
      </c>
    </row>
    <row r="3" ht="60" customHeight="1">
      <c r="A3" s="4" t="str">
        <v>AOW00: Cross Cutting</v>
      </c>
      <c r="B3" s="4" t="str">
        <v>Policymakers create targeted policies to strengthen the resilience of frontier food systems.</v>
      </c>
      <c r="C3" s="4" t="str">
        <v/>
      </c>
      <c r="D3" s="4" t="str">
        <v>Number of Policy (Policy Change)</v>
      </c>
      <c r="E3" s="4" t="str">
        <v>Country: Bangladesh, Kenya, Peru, Philippines, Solomon Islands, Timor-Leste</v>
      </c>
      <c r="F3" s="5">
        <v>0</v>
      </c>
      <c r="G3" s="4">
        <v>712</v>
      </c>
    </row>
    <row r="4" ht="60" customHeight="1">
      <c r="A4" s="4" t="str">
        <v>AOW00: Cross Cutting</v>
      </c>
      <c r="B4" s="4" t="str">
        <v>Food system actors adopt new tools, innovations, evidence and witness improved livelihoods, health and environments.</v>
      </c>
      <c r="C4" s="4" t="str">
        <v/>
      </c>
      <c r="D4" s="4" t="str">
        <v xml:space="preserve">  Number of men, women and youth adopting tools, innovations and evidence</v>
      </c>
      <c r="E4" s="4" t="str">
        <v>Country: Bangladesh, Ghana, Kenya, Philippines, Solomon Islands, Timor-Leste</v>
      </c>
      <c r="F4" s="5">
        <v>0</v>
      </c>
      <c r="G4" s="4">
        <v>713</v>
      </c>
    </row>
    <row r="5" ht="60" customHeight="1">
      <c r="A5" s="4" t="str">
        <v>AOW00: Cross Cutting</v>
      </c>
      <c r="B5" s="4" t="str">
        <v>Partners and donors use evidence to invest in frontier food systems.</v>
      </c>
      <c r="C5" s="4" t="str">
        <v/>
      </c>
      <c r="D5" s="4" t="str">
        <v xml:space="preserve"> Number of funders and partners that have invested in strengthening frontier food systems</v>
      </c>
      <c r="E5" s="4" t="str">
        <v>Country: Kenya</v>
      </c>
      <c r="F5" s="5">
        <v>0</v>
      </c>
      <c r="G5" s="4">
        <v>716</v>
      </c>
    </row>
    <row r="6" ht="60" customHeight="1">
      <c r="A6" s="8" t="str">
        <v>AOW01: Future Food Systems Lab</v>
      </c>
      <c r="B6" s="4" t="str">
        <v xml:space="preserve">1.1 Scenarios and foresight </v>
      </c>
      <c r="C6" s="4" t="str">
        <v/>
      </c>
      <c r="D6" s="4" t="str">
        <v>Number of Policy (Policy Change)</v>
      </c>
      <c r="E6" s="4" t="str">
        <v>Country: Kenya</v>
      </c>
      <c r="F6" s="5">
        <v>3</v>
      </c>
      <c r="G6" s="4">
        <v>706</v>
      </c>
    </row>
    <row r="7" ht="60" customHeight="1">
      <c r="A7" s="4" t="str">
        <v>AOW01: Future Food Systems Lab</v>
      </c>
      <c r="B7" s="4" t="str">
        <v>1.2 Evidence-informed priorities</v>
      </c>
      <c r="C7" s="4" t="str">
        <v/>
      </c>
      <c r="D7" s="4" t="str">
        <v xml:space="preserve"> </v>
      </c>
      <c r="E7" s="4" t="str">
        <v>Country: Ghana, Kenya, Peru</v>
      </c>
      <c r="F7" s="5">
        <v>3</v>
      </c>
      <c r="G7" s="4">
        <v>714</v>
      </c>
    </row>
    <row r="8" ht="60" customHeight="1">
      <c r="A8" s="4" t="str">
        <v>AOW01: Future Food Systems Lab</v>
      </c>
      <c r="B8" s="4" t="str">
        <v>1.3 Entrepreneur-led scaling</v>
      </c>
      <c r="C8" s="4" t="str">
        <v/>
      </c>
      <c r="D8" s="4" t="str">
        <v xml:space="preserve"> </v>
      </c>
      <c r="E8" s="4" t="str">
        <v>Country: Ethiopia, Ghana, Kenya</v>
      </c>
      <c r="F8" s="5">
        <v>1000</v>
      </c>
      <c r="G8" s="4">
        <v>715</v>
      </c>
    </row>
    <row r="9" ht="60" customHeight="1">
      <c r="A9" s="8" t="str">
        <v>AOW02: Fragile and Conflict-affected Food Systems</v>
      </c>
      <c r="B9" s="4" t="str">
        <v>2.1 Strategies and programs to prevent and mitigate the effects of crises in fragile settings</v>
      </c>
      <c r="C9" s="4" t="str">
        <v/>
      </c>
      <c r="D9" s="4" t="str">
        <v>Number of multi-stakeholder platforms taking system-related decisions or making recommendations based on CGIAR technical support.</v>
      </c>
      <c r="E9" s="4" t="str">
        <v>Country: Ethiopia, Kenya, Nigeria</v>
      </c>
      <c r="F9" s="5">
        <v>25000</v>
      </c>
      <c r="G9" s="4">
        <v>707</v>
      </c>
    </row>
    <row r="10" ht="60" customHeight="1">
      <c r="A10" s="4" t="str">
        <v>AOW02: Fragile and Conflict-affected Food Systems</v>
      </c>
      <c r="B10" s="4" t="str">
        <v>2.1 Strategies and programs to prevent and mitigate the effects of crises in fragile settings</v>
      </c>
      <c r="C10" s="4" t="str">
        <v/>
      </c>
      <c r="D10" s="4" t="str">
        <v>Number of Policy (Policy Change)</v>
      </c>
      <c r="E10" s="4" t="str">
        <v>Country: Ethiopia, Jordan, Mali, Nepal, Nigeria, Uganda</v>
      </c>
      <c r="F10" s="5">
        <v>4</v>
      </c>
      <c r="G10" s="4">
        <v>707</v>
      </c>
    </row>
    <row r="11" ht="60" customHeight="1">
      <c r="A11" s="4" t="str">
        <v>AOW02: Fragile and Conflict-affected Food Systems</v>
      </c>
      <c r="B11" s="4" t="str">
        <v>2.2 Better designed emergency response in fragile settings</v>
      </c>
      <c r="C11" s="4" t="str">
        <v/>
      </c>
      <c r="D11" s="4" t="str">
        <v>Number of Policy (Policy Change)</v>
      </c>
      <c r="E11" s="4" t="str">
        <v>Country: Ethiopia, Guatemala, Honduras, Jordan, Kenya, Malawi, Mali, Mozambique, Nigeria, The Republic of the Sudan, Zimbabwe</v>
      </c>
      <c r="F11" s="5">
        <v>4</v>
      </c>
      <c r="G11" s="4">
        <v>710</v>
      </c>
    </row>
    <row r="12" ht="60" customHeight="1">
      <c r="A12" s="4" t="str">
        <v>AOW02: Fragile and Conflict-affected Food Systems</v>
      </c>
      <c r="B12" s="4" t="str">
        <v>2.2 Better designed emergency response in fragile settings</v>
      </c>
      <c r="C12" s="4" t="str">
        <v/>
      </c>
      <c r="D12" s="4" t="str">
        <v>Innovation Use</v>
      </c>
      <c r="E12" s="4" t="str">
        <v>Country: Ethiopia, Guatemala, Honduras, Jordan, Kenya, Malawi, Mali, Mozambique, Nigeria, The Republic of the Sudan, Zimbabwe</v>
      </c>
      <c r="F12" s="5">
        <v>3</v>
      </c>
      <c r="G12" s="4">
        <v>710</v>
      </c>
    </row>
    <row r="13" ht="60" customHeight="1">
      <c r="A13" s="4" t="str">
        <v>AOW02: Fragile and Conflict-affected Food Systems</v>
      </c>
      <c r="B13" s="4" t="str">
        <v>2.3 Programs and policies to promote recovery and stabilize livelihoods in fragile settings</v>
      </c>
      <c r="C13" s="4" t="str">
        <v/>
      </c>
      <c r="D13" s="4" t="str">
        <v>Number of Policy (Policy Change)</v>
      </c>
      <c r="E13" s="4" t="str">
        <v>Country: Burkina Faso, Ethiopia, Honduras, Jordan, Kenya, Mali, Nigeria, Somalia, Tajikistan, Yemen</v>
      </c>
      <c r="F13" s="5">
        <v>4</v>
      </c>
      <c r="G13" s="4">
        <v>717</v>
      </c>
    </row>
    <row r="14" ht="60" customHeight="1">
      <c r="A14" s="8" t="str">
        <v>AOW03: Urban Food Systems</v>
      </c>
      <c r="B14" s="4" t="str">
        <v>3.1 Safe urban food production</v>
      </c>
      <c r="C14" s="4" t="str">
        <v/>
      </c>
      <c r="D14" s="4" t="str">
        <v/>
      </c>
      <c r="E14" s="4" t="str">
        <v/>
      </c>
      <c r="F14" s="5">
        <v>0</v>
      </c>
      <c r="G14" s="4">
        <v>708</v>
      </c>
    </row>
    <row r="15" ht="60" customHeight="1">
      <c r="A15" s="4" t="str">
        <v>AOW03: Urban Food Systems</v>
      </c>
      <c r="B15" s="4" t="str">
        <v>3.2 Circular bioeconomy</v>
      </c>
      <c r="C15" s="4" t="str">
        <v/>
      </c>
      <c r="D15" s="4" t="str">
        <v/>
      </c>
      <c r="E15" s="4" t="str">
        <v>Country: Bangladesh, Ghana, Kenya</v>
      </c>
      <c r="F15" s="5">
        <v>20</v>
      </c>
      <c r="G15" s="4">
        <v>718</v>
      </c>
    </row>
    <row r="16" ht="60" customHeight="1">
      <c r="A16" s="4" t="str">
        <v>AOW03: Urban Food Systems</v>
      </c>
      <c r="B16" s="4" t="str">
        <v>3.2 Circular bioeconomy</v>
      </c>
      <c r="C16" s="4" t="str">
        <v/>
      </c>
      <c r="D16" s="4" t="str">
        <v/>
      </c>
      <c r="E16" s="4" t="str">
        <v>Country: Ethiopia, Ghana, Nepal, Sri Lanka</v>
      </c>
      <c r="F16" s="5">
        <v>250</v>
      </c>
      <c r="G16" s="4">
        <v>718</v>
      </c>
    </row>
    <row r="17" ht="60" customHeight="1">
      <c r="A17" s="4" t="str">
        <v>AOW03: Urban Food Systems</v>
      </c>
      <c r="B17" s="4" t="str">
        <v>3.2 Circular bioeconomy</v>
      </c>
      <c r="C17" s="4" t="str">
        <v/>
      </c>
      <c r="D17" s="4" t="str">
        <v/>
      </c>
      <c r="E17" s="4" t="str">
        <v>Country: Ethiopia, Ghana, Nepal, Sri Lanka</v>
      </c>
      <c r="F17" s="5">
        <v>100</v>
      </c>
      <c r="G17" s="4">
        <v>718</v>
      </c>
    </row>
    <row r="18" ht="60" customHeight="1">
      <c r="A18" s="4" t="str">
        <v>AOW03: Urban Food Systems</v>
      </c>
      <c r="B18" s="4" t="str">
        <v>3.5 Urban food systems governance</v>
      </c>
      <c r="C18" s="4" t="str">
        <v/>
      </c>
      <c r="D18" s="4" t="str">
        <v>Number of partners implementing CGIAR-supported innovations.</v>
      </c>
      <c r="E18" s="4" t="str">
        <v>Country: Kenya</v>
      </c>
      <c r="F18" s="5">
        <v>1</v>
      </c>
      <c r="G18" s="4">
        <v>719</v>
      </c>
    </row>
    <row r="19" ht="60" customHeight="1">
      <c r="A19" s="4" t="str">
        <v>AOW03: Urban Food Systems</v>
      </c>
      <c r="B19" s="4" t="str">
        <v>3.5 Urban food systems governance</v>
      </c>
      <c r="C19" s="4" t="str">
        <v/>
      </c>
      <c r="D19" s="4" t="str">
        <v>Number of Policy (Policy Change)</v>
      </c>
      <c r="E19" s="4" t="str">
        <v>Country: Bangladesh, Kenya, Peru, Philippines</v>
      </c>
      <c r="F19" s="5">
        <v>2</v>
      </c>
      <c r="G19" s="4">
        <v>719</v>
      </c>
    </row>
    <row r="20" ht="60" customHeight="1">
      <c r="A20" s="4" t="str">
        <v>AOW03: Urban Food Systems</v>
      </c>
      <c r="B20" s="4" t="str">
        <v>3.5 Urban food systems governance</v>
      </c>
      <c r="C20" s="4" t="str">
        <v/>
      </c>
      <c r="D20" s="4" t="str">
        <v>Innovation Use</v>
      </c>
      <c r="E20" s="4" t="str">
        <v>Country: Bangladesh, Kenya, Peru, Philippines</v>
      </c>
      <c r="F20" s="5">
        <v>2</v>
      </c>
      <c r="G20" s="4">
        <v>719</v>
      </c>
    </row>
    <row r="21" ht="60" customHeight="1">
      <c r="A21" s="4" t="str">
        <v>AOW03: Urban Food Systems</v>
      </c>
      <c r="B21" s="4" t="str">
        <v xml:space="preserve">  3.3 Informal food markets</v>
      </c>
      <c r="C21" s="4" t="str">
        <v/>
      </c>
      <c r="D21" s="4" t="str">
        <v>Number of Policy (Policy Change)</v>
      </c>
      <c r="E21" s="4" t="str">
        <v>Country: Kenya, Philippines</v>
      </c>
      <c r="F21" s="5">
        <v>6</v>
      </c>
      <c r="G21" s="4">
        <v>720</v>
      </c>
    </row>
    <row r="22" ht="60" customHeight="1">
      <c r="A22" s="4" t="str">
        <v>AOW03: Urban Food Systems</v>
      </c>
      <c r="B22" s="4" t="str">
        <v xml:space="preserve">  3.3 Informal food markets</v>
      </c>
      <c r="C22" s="4" t="str">
        <v/>
      </c>
      <c r="D22" s="4" t="str">
        <v>Number of Policy (Policy Change)</v>
      </c>
      <c r="E22" s="4" t="str">
        <v>Country: Kenya, Philippines</v>
      </c>
      <c r="F22" s="5">
        <v>1</v>
      </c>
      <c r="G22" s="4">
        <v>720</v>
      </c>
    </row>
    <row r="23" ht="60" customHeight="1">
      <c r="A23" s="4" t="str">
        <v>AOW03: Urban Food Systems</v>
      </c>
      <c r="B23" s="4" t="str">
        <v xml:space="preserve">  3.3 Informal food markets</v>
      </c>
      <c r="C23" s="4" t="str">
        <v/>
      </c>
      <c r="D23" s="4" t="str">
        <v>Number of new or revised government strategies, policies, legal acts regulations or programs using CGIAR research.</v>
      </c>
      <c r="E23" s="4" t="str">
        <v>Country: Philippines</v>
      </c>
      <c r="F23" s="5">
        <v>1</v>
      </c>
      <c r="G23" s="4">
        <v>720</v>
      </c>
    </row>
    <row r="24" ht="60" customHeight="1">
      <c r="A24" s="4" t="str">
        <v>AOW03: Urban Food Systems</v>
      </c>
      <c r="B24" s="4" t="str">
        <v xml:space="preserve">  3.3 Informal food markets</v>
      </c>
      <c r="C24" s="4" t="str">
        <v/>
      </c>
      <c r="D24" s="4" t="str">
        <v/>
      </c>
      <c r="E24" s="4" t="str">
        <v>Country: Bangladesh, Egypt, Kenya, Peru, Philippines</v>
      </c>
      <c r="F24" s="5">
        <v>75</v>
      </c>
      <c r="G24" s="4">
        <v>720</v>
      </c>
    </row>
    <row r="25" ht="60" customHeight="1">
      <c r="A25" s="4" t="str">
        <v>AOW03: Urban Food Systems</v>
      </c>
      <c r="B25" s="4" t="str">
        <v xml:space="preserve">  3.3 Informal food markets</v>
      </c>
      <c r="C25" s="4" t="str">
        <v/>
      </c>
      <c r="D25" s="4" t="str">
        <v/>
      </c>
      <c r="E25" s="4" t="str">
        <v>Country: Bangladesh, Egypt, Kenya, Peru, Philippines</v>
      </c>
      <c r="F25" s="5">
        <v>100</v>
      </c>
      <c r="G25" s="4">
        <v>720</v>
      </c>
    </row>
    <row r="26" ht="60" customHeight="1">
      <c r="A26" s="4" t="str">
        <v>AOW03: Urban Food Systems</v>
      </c>
      <c r="B26" s="4" t="str">
        <v xml:space="preserve">  3.3 Informal food markets</v>
      </c>
      <c r="C26" s="4" t="str">
        <v/>
      </c>
      <c r="D26" s="4" t="str">
        <v>Number of Policy (Policy Change)</v>
      </c>
      <c r="E26" s="4" t="str">
        <v>Country: Bangladesh, Egypt, Kenya, Peru, Philippines</v>
      </c>
      <c r="F26" s="5">
        <v>2</v>
      </c>
      <c r="G26" s="4">
        <v>720</v>
      </c>
    </row>
    <row r="27" ht="60" customHeight="1">
      <c r="A27" s="4" t="str">
        <v>AOW03: Urban Food Systems</v>
      </c>
      <c r="B27" s="4" t="str">
        <v xml:space="preserve">  3.3 Informal food markets</v>
      </c>
      <c r="C27" s="4" t="str">
        <v/>
      </c>
      <c r="D27" s="4" t="str">
        <v/>
      </c>
      <c r="E27" s="4" t="str">
        <v>Country: Bangladesh, Egypt, Kenya, Peru, Philippines</v>
      </c>
      <c r="F27" s="5">
        <v>750</v>
      </c>
      <c r="G27" s="4">
        <v>720</v>
      </c>
    </row>
    <row r="28" ht="60" customHeight="1">
      <c r="A28" s="4" t="str">
        <v>AOW03: Urban Food Systems</v>
      </c>
      <c r="B28" s="4" t="str">
        <v xml:space="preserve">  3.3 Informal food markets</v>
      </c>
      <c r="C28" s="4" t="str">
        <v/>
      </c>
      <c r="D28" s="4" t="str">
        <v>Number of Policy (Policy Change)</v>
      </c>
      <c r="E28" s="4" t="str">
        <v>Country: Bangladesh, Egypt, Kenya, Peru, Philippines</v>
      </c>
      <c r="F28" s="5">
        <v>5</v>
      </c>
      <c r="G28" s="4">
        <v>720</v>
      </c>
    </row>
    <row r="29" ht="60" customHeight="1">
      <c r="A29" s="4" t="str">
        <v>AOW03: Urban Food Systems</v>
      </c>
      <c r="B29" s="4" t="str">
        <v>3.4 Healthy Diets</v>
      </c>
      <c r="C29" s="4" t="str">
        <v/>
      </c>
      <c r="D29" s="4" t="str">
        <v/>
      </c>
      <c r="E29" s="4" t="str">
        <v>Global</v>
      </c>
      <c r="F29" s="5">
        <v>750</v>
      </c>
      <c r="G29" s="4">
        <v>721</v>
      </c>
    </row>
    <row r="30" ht="60" customHeight="1">
      <c r="A30" s="4" t="str">
        <v>AOW03: Urban Food Systems</v>
      </c>
      <c r="B30" s="4" t="str">
        <v>3.4 Healthy Diets</v>
      </c>
      <c r="C30" s="4" t="str">
        <v/>
      </c>
      <c r="D30" s="4" t="str">
        <v/>
      </c>
      <c r="E30" s="4" t="str">
        <v>Country: Bangladesh, Kenya, Philippines</v>
      </c>
      <c r="F30" s="5">
        <v>2</v>
      </c>
      <c r="G30" s="4">
        <v>721</v>
      </c>
    </row>
    <row r="31" ht="60" customHeight="1">
      <c r="A31" s="8" t="str">
        <v>AOW04: Island Food Systems</v>
      </c>
      <c r="B31" s="4" t="str">
        <v>4.1 ACTORS</v>
      </c>
      <c r="C31" s="4" t="str">
        <v/>
      </c>
      <c r="D31" s="4" t="str">
        <v>Innovation Use</v>
      </c>
      <c r="E31" s="4" t="str">
        <v>Country: Solomon Islands, Timor-Leste</v>
      </c>
      <c r="F31" s="5">
        <v>100</v>
      </c>
      <c r="G31" s="4">
        <v>709</v>
      </c>
    </row>
    <row r="32" ht="60" customHeight="1">
      <c r="A32" s="4" t="str">
        <v>AOW04: Island Food Systems</v>
      </c>
      <c r="B32" s="4" t="str">
        <v>4.2 NETWORKS</v>
      </c>
      <c r="C32" s="4" t="str">
        <v/>
      </c>
      <c r="D32" s="4" t="str">
        <v xml:space="preserve"> </v>
      </c>
      <c r="E32" s="4" t="str">
        <v>Country: Solomon Islands, Timor-Leste</v>
      </c>
      <c r="F32" s="5">
        <v>1</v>
      </c>
      <c r="G32" s="4">
        <v>722</v>
      </c>
    </row>
    <row r="33" ht="60" customHeight="1">
      <c r="A33" s="4" t="str">
        <v>AOW04: Island Food Systems</v>
      </c>
      <c r="B33" s="4" t="str">
        <v>4.2 NETWORKS</v>
      </c>
      <c r="C33" s="4" t="str">
        <v/>
      </c>
      <c r="D33" s="4" t="str">
        <v>Number of Policy (Policy Change)</v>
      </c>
      <c r="E33" s="4" t="str">
        <v>Country: Solomon Islands, Timor-Leste</v>
      </c>
      <c r="F33" s="5">
        <v>1</v>
      </c>
      <c r="G33" s="4">
        <v>722</v>
      </c>
    </row>
    <row r="34" ht="60" customHeight="1">
      <c r="A34" s="4" t="str">
        <v>AOW04: Island Food Systems</v>
      </c>
      <c r="B34" s="4" t="str">
        <v>4.2 NETWORKS</v>
      </c>
      <c r="C34" s="4" t="str">
        <v/>
      </c>
      <c r="D34" s="4" t="str">
        <v/>
      </c>
      <c r="E34" s="4" t="str">
        <v>Country: Kiribati, Papua New Guinea, Solomon Islands, Timor-Leste, Tonga, Vanuatu</v>
      </c>
      <c r="F34" s="5">
        <v>2000</v>
      </c>
      <c r="G34" s="4">
        <v>722</v>
      </c>
    </row>
    <row r="35" ht="60" customHeight="1">
      <c r="A35" s="4" t="str">
        <v>AOW04: Island Food Systems</v>
      </c>
      <c r="B35" s="4" t="str">
        <v>4.3 PARTNERS</v>
      </c>
      <c r="C35" s="4" t="str">
        <v/>
      </c>
      <c r="D35" s="4" t="str">
        <v>Number of Policy (Policy Change)</v>
      </c>
      <c r="E35" s="4" t="str">
        <v>Country: Solomon Islands, Timor-Leste</v>
      </c>
      <c r="F35" s="5">
        <v>3</v>
      </c>
      <c r="G35" s="4">
        <v>723</v>
      </c>
    </row>
  </sheetData>
  <mergeCells count="19">
    <mergeCell ref="A2:A5"/>
    <mergeCell ref="A6:A8"/>
    <mergeCell ref="B9:B10"/>
    <mergeCell ref="C9:C10"/>
    <mergeCell ref="B11:B12"/>
    <mergeCell ref="C11:C12"/>
    <mergeCell ref="A9:A13"/>
    <mergeCell ref="B15:B17"/>
    <mergeCell ref="C15:C17"/>
    <mergeCell ref="B18:B20"/>
    <mergeCell ref="C18:C20"/>
    <mergeCell ref="B21:B28"/>
    <mergeCell ref="C21:C28"/>
    <mergeCell ref="B29:B30"/>
    <mergeCell ref="C29:C30"/>
    <mergeCell ref="A14:A30"/>
    <mergeCell ref="B32:B34"/>
    <mergeCell ref="C32:C34"/>
    <mergeCell ref="A31:A35"/>
  </mergeCells>
  <ignoredErrors>
    <ignoredError numberStoredAsText="1" sqref="A1:G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