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35433</v>
      </c>
      <c r="K4" s="5">
        <v>35433</v>
      </c>
      <c r="L4" s="5">
        <v>0</v>
      </c>
      <c r="M4" s="5">
        <v>0</v>
      </c>
      <c r="N4" s="4">
        <v>230</v>
      </c>
    </row>
    <row r="5" ht="20" customHeight="1">
      <c r="A5" s="4" t="str">
        <v>AOW01: Future Food Systems Lab</v>
      </c>
      <c r="B5" s="5">
        <v>0</v>
      </c>
      <c r="C5" s="5">
        <v>0</v>
      </c>
      <c r="D5" s="5">
        <v>2</v>
      </c>
      <c r="E5" s="5">
        <v>92500</v>
      </c>
      <c r="F5" s="5">
        <v>50</v>
      </c>
      <c r="G5" s="5">
        <v>40000</v>
      </c>
      <c r="H5" s="5">
        <v>0</v>
      </c>
      <c r="I5" s="5">
        <v>0</v>
      </c>
      <c r="J5" s="5">
        <v>132500</v>
      </c>
      <c r="K5" s="5">
        <v>132500</v>
      </c>
      <c r="L5" s="5">
        <v>0</v>
      </c>
      <c r="M5" s="5">
        <v>0</v>
      </c>
      <c r="N5" s="4">
        <v>226</v>
      </c>
    </row>
    <row r="6" ht="20" customHeight="1">
      <c r="A6" s="4" t="str">
        <v>AOW02: Fragile and Conflict-affected Food Systems</v>
      </c>
      <c r="B6" s="5">
        <v>0</v>
      </c>
      <c r="C6" s="5">
        <v>0</v>
      </c>
      <c r="D6" s="5">
        <v>4</v>
      </c>
      <c r="E6" s="5">
        <v>332186</v>
      </c>
      <c r="F6" s="5">
        <v>130</v>
      </c>
      <c r="G6" s="5">
        <v>117814</v>
      </c>
      <c r="H6" s="5">
        <v>0</v>
      </c>
      <c r="I6" s="5">
        <v>0</v>
      </c>
      <c r="J6" s="5">
        <v>450000</v>
      </c>
      <c r="K6" s="5">
        <v>450000</v>
      </c>
      <c r="L6" s="5">
        <v>50000</v>
      </c>
      <c r="M6" s="5">
        <v>0</v>
      </c>
      <c r="N6" s="4">
        <v>228</v>
      </c>
    </row>
    <row r="7" ht="20" customHeight="1">
      <c r="A7" s="4" t="str">
        <v>AOW03: Urban Food Systems</v>
      </c>
      <c r="B7" s="5">
        <v>0</v>
      </c>
      <c r="C7" s="5">
        <v>0</v>
      </c>
      <c r="D7" s="5">
        <v>2</v>
      </c>
      <c r="E7" s="5">
        <v>210000</v>
      </c>
      <c r="F7" s="5">
        <v>0</v>
      </c>
      <c r="G7" s="5">
        <v>0</v>
      </c>
      <c r="H7" s="5">
        <v>0</v>
      </c>
      <c r="I7" s="5">
        <v>0</v>
      </c>
      <c r="J7" s="5">
        <v>210000</v>
      </c>
      <c r="K7" s="5">
        <v>210000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634686</v>
      </c>
      <c r="F9" s="7" t="str">
        <v/>
      </c>
      <c r="G9" s="7">
        <v>157814</v>
      </c>
      <c r="H9" s="7" t="str">
        <v/>
      </c>
      <c r="I9" s="7">
        <v>0</v>
      </c>
      <c r="J9" s="7">
        <v>827933</v>
      </c>
      <c r="K9" s="7">
        <v>827933</v>
      </c>
      <c r="L9" s="7">
        <v>50000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ILRI</v>
      </c>
      <c r="C3" s="4" t="str">
        <v>1.1.1 Envisioning Food System Futures</v>
      </c>
      <c r="D3" s="4" t="str">
        <v>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v>
      </c>
      <c r="E3" s="4" t="str">
        <v>Number of knowledge products</v>
      </c>
      <c r="F3" s="4" t="str">
        <v>Pakistan, Timor-Leste, Nigeria, Solomon Islands, Philippines, Mozambique, Ethiopia, Ghana, Yemen, Jamaica, Mali, Kenya, The Republic of the Sudan, Jordan, Bangladesh, Papua New Guinea, Somalia, Burkina Faso, Peru</v>
      </c>
      <c r="G3" s="5">
        <v>1</v>
      </c>
      <c r="H3" s="5">
        <v>72500</v>
      </c>
      <c r="I3" s="4" t="str">
        <v xml:space="preserve">Costing covers staff time to co-develop and write the FCAS Operational Strategy with partners. This budget was initially $112,500 but this has been reduced to include two new center's in the delivery of the PoD </v>
      </c>
      <c r="J3" s="4">
        <v>7708</v>
      </c>
    </row>
    <row r="4" ht="50" customHeight="1">
      <c r="B4" s="4" t="str">
        <v>ILRI</v>
      </c>
      <c r="D4"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4" s="4" t="str">
        <v>Number of knowledge products</v>
      </c>
      <c r="F4" s="4" t="str">
        <v>Ghana, Jordan, Mali, Somalia, Yemen, Bangladesh, The Republic of the Sudan, Peru, Solomon Islands, Jamaica, Kenya, Philippines, Timor-Leste, Ethiopia, Burkina Faso, Pakistan, Papua New Guinea, Mozambique, Nigeria</v>
      </c>
      <c r="G4" s="5">
        <v>1</v>
      </c>
      <c r="H4" s="5">
        <v>20000</v>
      </c>
      <c r="I4" s="4" t="str">
        <v>Costing covers staff time to co-develop and write the FCAS Operational Strategy with partners across 19 countries (including Somalia), plus operational budget for consultations, workshops, and producing the final knowledge product.</v>
      </c>
      <c r="J4" s="4">
        <v>7710</v>
      </c>
    </row>
    <row r="5" ht="50" customHeight="1">
      <c r="A5" s="4" t="str">
        <v>AOW01: Future Food Systems Lab</v>
      </c>
      <c r="B5" s="4" t="str">
        <v>ILRI</v>
      </c>
      <c r="C5" s="4" t="str">
        <v>1.2.2 Evidence Synthesis and Adaptive Learning</v>
      </c>
      <c r="D5" s="4" t="str">
        <v>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v>
      </c>
      <c r="E5" s="4" t="str">
        <v>Number of people trained (capacity sharing for development)</v>
      </c>
      <c r="F5" s="4" t="str">
        <v>Papua New Guinea, Timor-Leste, Ethiopia, Somalia, Pakistan, Bangladesh, Jordan, Mali, Philippines, Kenya, The Republic of the Sudan, Solomon Islands, Yemen, Peru, Jamaica, Burkina Faso, Nigeria, Mozambique, Ghana</v>
      </c>
      <c r="G5" s="5">
        <v>50</v>
      </c>
      <c r="H5" s="5">
        <v>40000</v>
      </c>
      <c r="I5" s="4" t="str">
        <v xml:space="preserve">Budget will support training related expenses </v>
      </c>
      <c r="J5" s="4">
        <v>7723</v>
      </c>
    </row>
    <row r="6" ht="25" customHeight="1">
      <c r="C6" s="9" t="str">
        <v>HLO budget subtotal</v>
      </c>
      <c r="H6" s="9">
        <v>132500</v>
      </c>
      <c r="J6" s="9" t="str">
        <v/>
      </c>
    </row>
    <row r="7" ht="50" customHeight="1">
      <c r="A7" s="8" t="str">
        <v>AOW02: Fragile and Conflict-affected Food Systems</v>
      </c>
      <c r="B7" s="4" t="str">
        <v>ILRI</v>
      </c>
      <c r="C7" s="4" t="str">
        <v>2.1.1 Prevent</v>
      </c>
      <c r="D7" s="4" t="str">
        <v>Produce and share at least 3 co-designed knowledge products developed with stakeholders and partners, with documented validation and dissemination.</v>
      </c>
      <c r="E7" s="4" t="str">
        <v>Number of knowledge products</v>
      </c>
      <c r="F7" s="4" t="str">
        <v>Nigeria, Ethiopia, Kenya</v>
      </c>
      <c r="G7" s="5">
        <v>3</v>
      </c>
      <c r="H7" s="5">
        <v>250000</v>
      </c>
      <c r="I7" s="4" t="str">
        <v>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v>
      </c>
      <c r="J7" s="4">
        <v>7341</v>
      </c>
    </row>
    <row r="8" ht="50" customHeight="1">
      <c r="A8" s="4" t="str">
        <v>AOW02: Fragile and Conflict-affected Food Systems</v>
      </c>
      <c r="B8" s="4" t="str">
        <v>ILRI</v>
      </c>
      <c r="C8" s="4" t="str">
        <v>2.2.2 Respond</v>
      </c>
      <c r="D8" s="4" t="str">
        <v>Produce and share at least 3 co-designed knowledge products developed with stakeholders and partners, with documented validation and dissemination.</v>
      </c>
      <c r="E8" s="4" t="str">
        <v>Number of knowledge products</v>
      </c>
      <c r="F8" s="4" t="str">
        <v>Nigeria, Ethiopia, Kenya</v>
      </c>
      <c r="G8" s="5">
        <v>3</v>
      </c>
      <c r="H8" s="5">
        <v>0</v>
      </c>
      <c r="I8" s="4" t="str">
        <v/>
      </c>
      <c r="J8" s="4">
        <v>8232</v>
      </c>
    </row>
    <row r="9" ht="50" customHeight="1">
      <c r="A9" s="4" t="str">
        <v>AOW02: Fragile and Conflict-affected Food Systems</v>
      </c>
      <c r="B9" s="4" t="str">
        <v>ILRI</v>
      </c>
      <c r="C9" s="4" t="str">
        <v>2.3.3 Recover</v>
      </c>
      <c r="D9" s="4" t="str">
        <v>AW2P14: Beyond Adaptation: Camel, Climate and Environmental Peace-building in the Horn of Africa- KPI- 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v>
      </c>
      <c r="E9" s="4" t="str">
        <v>Number of knowledge products</v>
      </c>
      <c r="F9" s="4" t="str">
        <v>Somalia, Kenya</v>
      </c>
      <c r="G9" s="5">
        <v>1</v>
      </c>
      <c r="H9" s="5">
        <v>82186</v>
      </c>
      <c r="I9" s="4" t="str">
        <v>Staff and Operations supports</v>
      </c>
      <c r="J9" s="4">
        <v>8332</v>
      </c>
    </row>
    <row r="10" ht="50" customHeight="1">
      <c r="B10" s="4" t="str">
        <v>ILRI</v>
      </c>
      <c r="D10" s="4" t="str">
        <v>AW2P14: Beyond Adaptation: Camel, Climate and Environmental Peace-building in the Horn of Africa- KPI-Convene a community of practice workshop with at least 30 participants to facilitate knowledge sharing on camel research priorities, constraints, capacity needs, and strategies for supporting informal food markets in FCAS contexts, with documented participation and key outcomes.</v>
      </c>
      <c r="E10" s="4" t="str">
        <v>Number of people trained (capacity sharing for development)</v>
      </c>
      <c r="F10" s="4" t="str">
        <v>Kenya, Ethiopia</v>
      </c>
      <c r="G10" s="5">
        <v>30</v>
      </c>
      <c r="H10" s="5">
        <v>35400</v>
      </c>
      <c r="I10" s="4" t="str">
        <v xml:space="preserve">Staff, Operations and partner support </v>
      </c>
      <c r="J10" s="4">
        <v>8333</v>
      </c>
    </row>
    <row r="11" ht="50" customHeight="1">
      <c r="B11" s="4" t="str">
        <v>ILRI</v>
      </c>
      <c r="D11" s="4" t="str">
        <v>AW2P14: Beyond Adaptation: Camel, Climate and Environmental Peace-building in the Horn of Africa- KPI- 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v>
      </c>
      <c r="E11" s="4" t="str">
        <v>Number of people trained (capacity sharing for development)</v>
      </c>
      <c r="F11" s="4" t="str">
        <v>Kenya, Ethiopia</v>
      </c>
      <c r="G11" s="5">
        <v>100</v>
      </c>
      <c r="H11" s="5">
        <v>82414</v>
      </c>
      <c r="I11" s="4" t="str">
        <v>Staff, Operations and Partner support</v>
      </c>
      <c r="J11" s="4">
        <v>8334</v>
      </c>
    </row>
    <row r="12" ht="25" customHeight="1">
      <c r="C12" s="9" t="str">
        <v>HLO budget subtotal</v>
      </c>
      <c r="H12" s="9">
        <v>450000</v>
      </c>
      <c r="J12" s="9" t="str">
        <v/>
      </c>
    </row>
    <row r="13" ht="50" customHeight="1">
      <c r="A13" s="8" t="str">
        <v>AOW03: Urban Food Systems</v>
      </c>
      <c r="B13" s="4" t="str">
        <v>ILRI</v>
      </c>
      <c r="C13" s="4" t="str">
        <v>3.3.3 Informal food markets</v>
      </c>
      <c r="D13" s="4" t="str">
        <v>Produce and share at least 1 co-designed knowledge products developed with stakeholders and partners, with documented validation and dissemination.</v>
      </c>
      <c r="E13" s="4" t="str">
        <v>Number of knowledge products</v>
      </c>
      <c r="F13" s="4" t="str">
        <v>Kenya, Philippines</v>
      </c>
      <c r="G13" s="5">
        <v>1</v>
      </c>
      <c r="H13" s="5">
        <v>0</v>
      </c>
      <c r="I13" s="4" t="str">
        <v/>
      </c>
      <c r="J13" s="4">
        <v>7336</v>
      </c>
    </row>
    <row r="14" ht="50" customHeight="1">
      <c r="B14" s="4" t="str">
        <v>ILRI</v>
      </c>
      <c r="D14" s="4" t="str">
        <v>Number of knowledge products documenting guidelines, innovations, and evidence-based business models for inclusive informal food markets</v>
      </c>
      <c r="E14" s="4" t="str">
        <v>Number of knowledge products</v>
      </c>
      <c r="F14" s="4" t="str">
        <v>Kenya</v>
      </c>
      <c r="G14" s="5">
        <v>1</v>
      </c>
      <c r="H14" s="5">
        <v>0</v>
      </c>
      <c r="I14" s="4" t="str">
        <v/>
      </c>
      <c r="J14" s="4">
        <v>7338</v>
      </c>
    </row>
    <row r="15" ht="50" customHeight="1">
      <c r="B15" s="4" t="str">
        <v>ILRI</v>
      </c>
      <c r="D15" s="4" t="str">
        <v>Number of knowledge products documenting guidelines, innovations, and evidence-based business models for inclusive informal food markets</v>
      </c>
      <c r="E15" s="4" t="str">
        <v>Number of knowledge products</v>
      </c>
      <c r="F15" s="4" t="str">
        <v>Kenya</v>
      </c>
      <c r="G15" s="5">
        <v>2</v>
      </c>
      <c r="H15" s="5">
        <v>0</v>
      </c>
      <c r="I15" s="4" t="str">
        <v/>
      </c>
      <c r="J15" s="4">
        <v>7339</v>
      </c>
    </row>
    <row r="16" ht="50" customHeight="1">
      <c r="B16" s="4" t="str">
        <v>ILRI</v>
      </c>
      <c r="D16" s="4" t="str">
        <v>AW3P3: Pull-push approaches: improving food safety for healthier urban food systems- Publication on results from field eficacy trials of handheld pasteurization control unit (SAFI) to decrease milk contamination at vendor-consumer level</v>
      </c>
      <c r="E16" s="4" t="str">
        <v>Number of knowledge products</v>
      </c>
      <c r="F16" s="4" t="str">
        <v>Kenya</v>
      </c>
      <c r="G16" s="5">
        <v>1</v>
      </c>
      <c r="H16" s="5">
        <v>150000</v>
      </c>
      <c r="I16" s="4" t="str">
        <v>Publications budget</v>
      </c>
      <c r="J16" s="4">
        <v>7788</v>
      </c>
    </row>
    <row r="17" ht="50" customHeight="1">
      <c r="B17" s="4" t="str">
        <v>ILRI</v>
      </c>
      <c r="D17" s="4" t="str">
        <v>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v>
      </c>
      <c r="E17" s="4" t="str">
        <v>Number of knowledge products</v>
      </c>
      <c r="F17" s="4" t="str">
        <v>Kenya</v>
      </c>
      <c r="G17" s="5">
        <v>1</v>
      </c>
      <c r="H17" s="5">
        <v>60000</v>
      </c>
      <c r="I17" s="4" t="str">
        <v>Survey's budget</v>
      </c>
      <c r="J17" s="4">
        <v>7790</v>
      </c>
    </row>
    <row r="18" ht="25" customHeight="1">
      <c r="C18" s="9" t="str">
        <v>HLO budget subtotal</v>
      </c>
      <c r="H18" s="9">
        <v>210000</v>
      </c>
      <c r="J18" s="9" t="str">
        <v/>
      </c>
    </row>
  </sheetData>
  <mergeCells count="15">
    <mergeCell ref="A1:A2"/>
    <mergeCell ref="B1:B2"/>
    <mergeCell ref="C1:C2"/>
    <mergeCell ref="D1:H1"/>
    <mergeCell ref="I1:I2"/>
    <mergeCell ref="J1:J2"/>
    <mergeCell ref="C3:C4"/>
    <mergeCell ref="C6:G6"/>
    <mergeCell ref="A3:A6"/>
    <mergeCell ref="C9:C11"/>
    <mergeCell ref="C12:G12"/>
    <mergeCell ref="A7:A12"/>
    <mergeCell ref="C13:C17"/>
    <mergeCell ref="C18:G18"/>
    <mergeCell ref="A13: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Fragile and Conflict-affected Food Systems</v>
      </c>
      <c r="B2" s="4" t="str">
        <v>Strategies for Northern Development</v>
      </c>
      <c r="C2" s="4" t="str">
        <v>ILRI</v>
      </c>
      <c r="D2" s="4" t="str">
        <v>Kenya</v>
      </c>
      <c r="E2" s="5">
        <v>50000</v>
      </c>
      <c r="F2" s="4" t="str">
        <v>Budget to support KPI delivery</v>
      </c>
      <c r="G2" s="4">
        <v>569</v>
      </c>
    </row>
    <row r="3" ht="25" customHeight="1">
      <c r="B3" s="9" t="str">
        <v>Contracted partners subtotal</v>
      </c>
      <c r="E3" s="9">
        <v>50000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PMU, CGIAR Program Finance Support and associated Allocation</v>
      </c>
      <c r="D2" s="5">
        <v>34594</v>
      </c>
      <c r="E2" s="4" t="str">
        <v>MELIA Focal point staff budget</v>
      </c>
      <c r="F2" s="4">
        <v>90</v>
      </c>
      <c r="G2" s="4">
        <v>2</v>
      </c>
    </row>
    <row r="3" ht="45" customHeight="1">
      <c r="A3" s="4" t="str">
        <v>AOW00: Cross Cutting</v>
      </c>
      <c r="B3" s="4" t="str">
        <v>ILRI</v>
      </c>
      <c r="C3" s="4" t="str">
        <v>Operations</v>
      </c>
      <c r="D3" s="5">
        <v>839</v>
      </c>
      <c r="E3" s="4" t="str">
        <v xml:space="preserve">Pause and Reflect reimbursement </v>
      </c>
      <c r="F3" s="4">
        <v>91</v>
      </c>
      <c r="G3" s="4">
        <v>4</v>
      </c>
    </row>
    <row r="4" ht="25" customHeight="1">
      <c r="C4" s="9" t="str">
        <v>Cross-cutting budget subtotal</v>
      </c>
      <c r="D4" s="9">
        <v>35433</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34594</v>
      </c>
      <c r="C2" s="5">
        <v>117500</v>
      </c>
      <c r="D2" s="5">
        <v>236139</v>
      </c>
      <c r="E2" s="5">
        <v>168000</v>
      </c>
      <c r="F2" s="5">
        <v>0</v>
      </c>
      <c r="G2" s="5">
        <f>=SUM(B2:F2)</f>
        <v>0</v>
      </c>
    </row>
    <row r="3" ht="20" customHeight="1">
      <c r="A3" s="4" t="str">
        <v>Operations (supplies, consultants, travels, workshops, other)</v>
      </c>
      <c r="B3" s="5">
        <v>839</v>
      </c>
      <c r="C3" s="5">
        <v>15000</v>
      </c>
      <c r="D3" s="5">
        <v>163861</v>
      </c>
      <c r="E3" s="5">
        <v>42000</v>
      </c>
      <c r="F3" s="5">
        <v>0</v>
      </c>
      <c r="G3" s="5">
        <f>=SUM(B3:F3)</f>
        <v>0</v>
      </c>
    </row>
    <row r="4" ht="20" customHeight="1">
      <c r="A4" s="4" t="str">
        <v>Collaborators non-CGIAR centers</v>
      </c>
      <c r="B4" s="5">
        <v>0</v>
      </c>
      <c r="C4" s="5">
        <v>0</v>
      </c>
      <c r="D4" s="5">
        <v>50000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2601</v>
      </c>
    </row>
    <row r="3" ht="45" customHeight="1">
      <c r="A3" s="8" t="str">
        <v>AOW01: Future Food Systems Lab</v>
      </c>
      <c r="B3" s="4" t="str">
        <v>ILRI</v>
      </c>
      <c r="C3" s="4" t="str">
        <v>Kenya</v>
      </c>
      <c r="D3" s="5">
        <v>100</v>
      </c>
      <c r="E3" s="4">
        <v>953</v>
      </c>
    </row>
    <row r="4" ht="45" customHeight="1">
      <c r="A4" s="8" t="str">
        <v>AOW02: Fragile and Conflict-affected Food Systems</v>
      </c>
      <c r="B4" s="4" t="str">
        <v>ILRI</v>
      </c>
      <c r="C4" s="4" t="str">
        <v>Ethiopia</v>
      </c>
      <c r="D4" s="5">
        <v>33</v>
      </c>
      <c r="E4" s="4">
        <v>1160</v>
      </c>
    </row>
    <row r="5" ht="45" customHeight="1">
      <c r="A5" s="4" t="str">
        <v>AOW02: Fragile and Conflict-affected Food Systems</v>
      </c>
      <c r="B5" s="4" t="str">
        <v>ILRI</v>
      </c>
      <c r="C5" s="4" t="str">
        <v>Kenya</v>
      </c>
      <c r="D5" s="5">
        <v>34</v>
      </c>
      <c r="E5" s="4">
        <v>1161</v>
      </c>
    </row>
    <row r="6" ht="45" customHeight="1">
      <c r="A6" s="4" t="str">
        <v>AOW02: Fragile and Conflict-affected Food Systems</v>
      </c>
      <c r="B6" s="4" t="str">
        <v>ILRI</v>
      </c>
      <c r="C6" s="4" t="str">
        <v>Nigeria</v>
      </c>
      <c r="D6" s="5">
        <v>33</v>
      </c>
      <c r="E6" s="4">
        <v>1162</v>
      </c>
    </row>
    <row r="7" ht="45" customHeight="1">
      <c r="A7" s="8" t="str">
        <v>AOW03: Urban Food Systems</v>
      </c>
      <c r="B7" s="4" t="str">
        <v>ILRI</v>
      </c>
      <c r="C7" s="4" t="str">
        <v>Kenya</v>
      </c>
      <c r="D7" s="5">
        <v>100</v>
      </c>
      <c r="E7" s="4">
        <v>975</v>
      </c>
    </row>
  </sheetData>
  <mergeCells count="4">
    <mergeCell ref="A2"/>
    <mergeCell ref="A3"/>
    <mergeCell ref="A4:A6"/>
    <mergeCell ref="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922</v>
      </c>
    </row>
    <row r="3" ht="45" customHeight="1">
      <c r="A3" s="8" t="str">
        <v>AOW01: Future Food Systems Lab</v>
      </c>
      <c r="B3" s="4" t="str">
        <v>ILRI</v>
      </c>
      <c r="C3" s="4" t="str">
        <v>Global</v>
      </c>
      <c r="D3" s="4" t="str">
        <v>global</v>
      </c>
      <c r="E3" s="5">
        <v>100</v>
      </c>
      <c r="F3" s="4">
        <v>272</v>
      </c>
    </row>
    <row r="4" ht="45" customHeight="1">
      <c r="A4" s="8" t="str">
        <v>AOW02: Fragile and Conflict-affected Food Systems</v>
      </c>
      <c r="B4" s="4" t="str">
        <v>ILRI</v>
      </c>
      <c r="C4" s="4" t="str">
        <v>Global</v>
      </c>
      <c r="D4" s="4" t="str">
        <v>global</v>
      </c>
      <c r="E4" s="5">
        <v>100</v>
      </c>
      <c r="F4" s="4">
        <v>394</v>
      </c>
    </row>
    <row r="5" ht="45" customHeight="1">
      <c r="A5" s="8" t="str">
        <v>AOW03: Urban Food Systems</v>
      </c>
      <c r="B5" s="4" t="str">
        <v>ILRI</v>
      </c>
      <c r="C5" s="4" t="str">
        <v>Global</v>
      </c>
      <c r="D5" s="4" t="str">
        <v>global</v>
      </c>
      <c r="E5" s="5">
        <v>100</v>
      </c>
      <c r="F5" s="4">
        <v>290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