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182294</v>
      </c>
      <c r="K4" s="5">
        <v>182294</v>
      </c>
      <c r="L4" s="5">
        <v>0</v>
      </c>
      <c r="M4" s="5">
        <v>0</v>
      </c>
      <c r="N4" s="4">
        <v>230</v>
      </c>
    </row>
    <row r="5" ht="20" customHeight="1">
      <c r="A5" s="4" t="str">
        <v>AOW01: Future Food Systems Lab</v>
      </c>
      <c r="B5" s="5">
        <v>0</v>
      </c>
      <c r="C5" s="5">
        <v>0</v>
      </c>
      <c r="D5" s="5">
        <v>7</v>
      </c>
      <c r="E5" s="5">
        <v>340000</v>
      </c>
      <c r="F5" s="5">
        <v>0</v>
      </c>
      <c r="G5" s="5">
        <v>0</v>
      </c>
      <c r="H5" s="5">
        <v>0</v>
      </c>
      <c r="I5" s="5">
        <v>0</v>
      </c>
      <c r="J5" s="5">
        <v>340000</v>
      </c>
      <c r="K5" s="5">
        <v>340000</v>
      </c>
      <c r="L5" s="5">
        <v>0</v>
      </c>
      <c r="M5" s="5">
        <v>0</v>
      </c>
      <c r="N5" s="4">
        <v>226</v>
      </c>
    </row>
    <row r="6" ht="20" customHeight="1">
      <c r="A6" s="4" t="str">
        <v>AOW02: Fragile and Conflict-affected Food Systems</v>
      </c>
      <c r="B6" s="5">
        <v>5</v>
      </c>
      <c r="C6" s="5">
        <v>85000</v>
      </c>
      <c r="D6" s="5">
        <v>1</v>
      </c>
      <c r="E6" s="5">
        <v>65000</v>
      </c>
      <c r="F6" s="5">
        <v>0</v>
      </c>
      <c r="G6" s="5">
        <v>0</v>
      </c>
      <c r="H6" s="5">
        <v>0</v>
      </c>
      <c r="I6" s="5">
        <v>0</v>
      </c>
      <c r="J6" s="5">
        <v>150000</v>
      </c>
      <c r="K6" s="5">
        <v>150000</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5</v>
      </c>
      <c r="C8" s="5">
        <v>230000</v>
      </c>
      <c r="D8" s="5">
        <v>16</v>
      </c>
      <c r="E8" s="5">
        <v>917500</v>
      </c>
      <c r="F8" s="5">
        <v>299</v>
      </c>
      <c r="G8" s="5">
        <v>690894</v>
      </c>
      <c r="H8" s="5">
        <v>3</v>
      </c>
      <c r="I8" s="5">
        <v>50000</v>
      </c>
      <c r="J8" s="5">
        <v>1888394</v>
      </c>
      <c r="K8" s="5">
        <v>1888394</v>
      </c>
      <c r="L8" s="5">
        <v>602400</v>
      </c>
      <c r="M8" s="5">
        <v>0</v>
      </c>
      <c r="N8" s="4">
        <v>229</v>
      </c>
    </row>
    <row r="9" ht="25" customHeight="1">
      <c r="A9" s="6" t="str">
        <v>Total</v>
      </c>
      <c r="B9" s="7" t="str">
        <v/>
      </c>
      <c r="C9" s="7">
        <v>315000</v>
      </c>
      <c r="D9" s="7" t="str">
        <v/>
      </c>
      <c r="E9" s="7">
        <v>1322500</v>
      </c>
      <c r="F9" s="7" t="str">
        <v/>
      </c>
      <c r="G9" s="7">
        <v>690894</v>
      </c>
      <c r="H9" s="7" t="str">
        <v/>
      </c>
      <c r="I9" s="7">
        <v>50000</v>
      </c>
      <c r="J9" s="7">
        <v>2560688</v>
      </c>
      <c r="K9" s="7">
        <v>2560688</v>
      </c>
      <c r="L9" s="7">
        <v>602400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6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Future Food Systems Lab</v>
      </c>
      <c r="B3" s="4" t="str">
        <v>WorldFish</v>
      </c>
      <c r="C3" s="4" t="str">
        <v>1.2.2 Evidence Synthesis and Adaptive Learning</v>
      </c>
      <c r="D3" s="4" t="str">
        <v>Identify key alternative food production systems and assess their impacts on food systems, including small-scale agriculturalists, pastoralists, and fisherfolk. Conduct internal CGIAR dialogues to analyze alignment with CGIAR impact areas and define strategies for building future research capacity on frontier foods.</v>
      </c>
      <c r="E3" s="4" t="str">
        <v>Number of knowledge products</v>
      </c>
      <c r="F3" s="4" t="str">
        <v>The Republic of the Sudan, Jordan, Nigeria, Kenya, Timor-Leste, Pakistan, Mali, Ethiopia, Papua New Guinea, Somalia, Yemen, Solomon Islands, Jamaica, Mozambique, Philippines, Bangladesh, Peru, Burkina Faso, Ghana</v>
      </c>
      <c r="G3" s="5">
        <v>2</v>
      </c>
      <c r="H3" s="5">
        <v>0</v>
      </c>
      <c r="I3" s="4" t="str">
        <v/>
      </c>
      <c r="J3" s="4">
        <v>6863</v>
      </c>
    </row>
    <row r="4" ht="50" customHeight="1">
      <c r="A4" s="4" t="str">
        <v>AOW01: Future Food Systems Lab</v>
      </c>
      <c r="B4" s="4" t="str">
        <v>WorldFish</v>
      </c>
      <c r="C4" s="4" t="str">
        <v>1.1.1 Envisioning Food System Futures</v>
      </c>
      <c r="D4" s="4" t="str">
        <v>AW1P9: Framing food frontiers in the global development and food system challenge- KPI- Deliver an analysis that situates Frontier food systems within the global food systems transformation agenda</v>
      </c>
      <c r="E4" s="4" t="str">
        <v>Number of knowledge products</v>
      </c>
      <c r="F4" s="4" t="str">
        <v>Bangladesh, Ghana, Jamaica, Burkina Faso, Solomon Islands, Peru, Kenya, Timor-Leste, Papua New Guinea, Pakistan, Ethiopia, Yemen, Somalia, Jordan, The Republic of the Sudan, Nigeria, Philippines, Mali, Mozambique</v>
      </c>
      <c r="G4" s="5">
        <v>2</v>
      </c>
      <c r="H4" s="5">
        <v>100000</v>
      </c>
      <c r="I4" s="4" t="str">
        <v>Costing covers staff time to write and complete the journal article, work with partner centres to develop the frontier food systems framework, and cover publication or open-access fees and dissemination.</v>
      </c>
      <c r="J4" s="4">
        <v>7395</v>
      </c>
    </row>
    <row r="5" ht="50" customHeight="1">
      <c r="B5" s="4" t="str">
        <v>WorldFish</v>
      </c>
      <c r="D5" s="4" t="str">
        <v>AW1P9: Framing food frontiers in the global development and food system challenge- Foods of tomorrow for lower-income, nutritionally vulnerable people: The tensions between ‘value addition’ and ‘nutrition taken away’</v>
      </c>
      <c r="E5" s="4" t="str">
        <v>Number of knowledge products</v>
      </c>
      <c r="F5" s="4" t="str">
        <v>Ethiopia, Timor-Leste, The Republic of the Sudan, Jamaica, Somalia, Papua New Guinea, Mali, Yemen, Solomon Islands, Bangladesh, Peru, Ghana, Philippines, Burkina Faso, Nigeria, Mozambique, Kenya</v>
      </c>
      <c r="G5" s="5">
        <v>2</v>
      </c>
      <c r="H5" s="5">
        <v>110000</v>
      </c>
      <c r="I5" s="4" t="str">
        <v>Costing covers cost to study how value addition affects nutrition for low-income people across many countries, gather and analyze data from those places, and write and share the final knowledge product.</v>
      </c>
      <c r="J5" s="4">
        <v>7397</v>
      </c>
    </row>
    <row r="6" ht="50" customHeight="1">
      <c r="B6" s="4" t="str">
        <v>WorldFish</v>
      </c>
      <c r="D6" s="4" t="str">
        <v>AW1P9: Framing food frontiers in the global development and food system challenge- Foods of tomorrow and agrarian change:   do proposals for ‘farmless foods’* challenge or embed existing food system inequalities?</v>
      </c>
      <c r="E6" s="4" t="str">
        <v>Number of knowledge products</v>
      </c>
      <c r="F6" s="4" t="str">
        <v>Ethiopia, Burkina Faso, Jordan, Peru, Papua New Guinea, Ghana, Solomon Islands, Philippines, Jamaica, The Republic of the Sudan, Kenya, Mozambique, Pakistan, Yemen, Nigeria, Bangladesh, Timor-Leste, Somalia, Mali</v>
      </c>
      <c r="G6" s="5">
        <v>2</v>
      </c>
      <c r="H6" s="5">
        <v>110000</v>
      </c>
      <c r="I6" s="4" t="str">
        <v>Costing covers staff time to study whether farmless foods reduce or worsen food inequalities, plus operational budget for data access, travel, or workshops, and producing and sharing the final knowledge product.</v>
      </c>
      <c r="J6" s="4">
        <v>7398</v>
      </c>
    </row>
    <row r="7" ht="50" customHeight="1">
      <c r="B7" s="4" t="str">
        <v>WorldFish</v>
      </c>
      <c r="D7" s="4" t="str">
        <v>AW1P7: FCAS Operational Strategy- KPI-Develop and disseminate at least 3 case studies from CGIAR's FCAS portfolio that generate actionable evidence on conflict sensitivity, partnership models, and delivery approaches to inform the FCAS Operational Strategy and context-specific implementation.</v>
      </c>
      <c r="E7" s="4" t="str">
        <v>Number of knowledge products</v>
      </c>
      <c r="F7" s="4" t="str">
        <v>Syrian Arab Republic</v>
      </c>
      <c r="G7" s="5">
        <v>1</v>
      </c>
      <c r="H7" s="5">
        <v>20000</v>
      </c>
      <c r="I7" s="4" t="str">
        <v>Budget reallocated from CIP to cover WF in the delivery of the FCAS PoD</v>
      </c>
      <c r="J7" s="4">
        <v>8348</v>
      </c>
    </row>
    <row r="8" ht="25" customHeight="1">
      <c r="C8" s="9" t="str">
        <v>HLO budget subtotal</v>
      </c>
      <c r="H8" s="9">
        <v>340000</v>
      </c>
      <c r="J8" s="9" t="str">
        <v/>
      </c>
    </row>
    <row r="9" ht="50" customHeight="1">
      <c r="A9" s="8" t="str">
        <v>AOW02: Fragile and Conflict-affected Food Systems</v>
      </c>
      <c r="B9" s="4" t="str">
        <v>WorldFish</v>
      </c>
      <c r="C9" s="4" t="str">
        <v>2.3.3 Recover</v>
      </c>
      <c r="D9" s="4" t="str">
        <v>AW2P11 Fragile and Conflict-affected Food Systems-Aquaponics models co-designed and piloted with local stakeholders for FCAS settings across C-PEACE geographies (Ethiopia, Kenya, Ghana)</v>
      </c>
      <c r="E9" s="4" t="str">
        <v>Number of innovations (innovation development)</v>
      </c>
      <c r="F9" s="4" t="str">
        <v>Ethiopia, Ghana, Kenya</v>
      </c>
      <c r="G9" s="5">
        <v>3</v>
      </c>
      <c r="H9" s="5">
        <v>35000</v>
      </c>
      <c r="I9" s="4" t="str">
        <v>Costing covers staff time to co-design and pilot three aquaponics models with local stakeholders in FCAS settings, plus operational budget for materials, pilot site setup, travel, and community workshops across all three countries, and staff time to document each model as an innovation output.</v>
      </c>
      <c r="J9" s="4">
        <v>7613</v>
      </c>
    </row>
    <row r="10" ht="50" customHeight="1">
      <c r="B10" s="4" t="str">
        <v>WorldFish</v>
      </c>
      <c r="D10" s="4" t="str">
        <v>AW2P11 Fragile and Conflict-affected Food Systems- Assessment and scaling framework for integrating aquaponics innovations into FCAS across C-PEACE geographies (Ethiopia, Kenya, Ghana)</v>
      </c>
      <c r="E10" s="4" t="str">
        <v>Number of knowledge products</v>
      </c>
      <c r="F10" s="4" t="str">
        <v>Kenya, Ghana, Ethiopia</v>
      </c>
      <c r="G10" s="5">
        <v>1</v>
      </c>
      <c r="H10" s="5">
        <v>65000</v>
      </c>
      <c r="I10" s="4" t="str">
        <v>(Assessment and scaling framework for integrating aquaponics innovations into FCAS across Ethiopia, Kenya, Ghana – 1 knowledge product): Costing covers staff time to assess pilot results and develop a scaling framework for aquaponics in fragile contexts, plus operational budget for cross-country learning events, stakeholder validation, and design, and staff time to produce and share the final knowledge product.</v>
      </c>
      <c r="J10" s="4">
        <v>7614</v>
      </c>
    </row>
    <row r="11" ht="50" customHeight="1">
      <c r="A11" s="4" t="str">
        <v>AOW02: Fragile and Conflict-affected Food Systems</v>
      </c>
      <c r="B11" s="4" t="str">
        <v>WorldFish</v>
      </c>
      <c r="C11" s="4" t="str">
        <v>2.2.2 Respond</v>
      </c>
      <c r="D11" s="4" t="str">
        <v>AW2P12 Food Systems Under Siege - Gaza- Assessment of aquaponics potential within Gaza’s crisis-affected food system, examining technical feasibility, resource constraints and identifying entry points for integrating aquaponics with practical implementation modalities, including resource requirements, and context-appropriate delivery approaches under constrained and volatile conditions.</v>
      </c>
      <c r="E11" s="4" t="str">
        <v>Number of innovations (innovation development)</v>
      </c>
      <c r="F11" s="4" t="str">
        <v>State of Palestine</v>
      </c>
      <c r="G11" s="5">
        <v>2</v>
      </c>
      <c r="H11" s="5">
        <v>50000</v>
      </c>
      <c r="I11" s="4" t="str">
        <v>Costing covers staff time to assess aquaponics technical feasibility, resource constraints, and implementation modalities in Gaza’s crisis setting, plus operational budget for remote data collection, local consultations, security-related access costs, and producing the innovation assessment as a knowledge product</v>
      </c>
      <c r="J11" s="4">
        <v>7624</v>
      </c>
    </row>
    <row r="12" ht="25" customHeight="1">
      <c r="C12" s="9" t="str">
        <v>HLO budget subtotal</v>
      </c>
      <c r="H12" s="9">
        <v>150000</v>
      </c>
      <c r="J12" s="9" t="str">
        <v/>
      </c>
    </row>
    <row r="13" ht="50" customHeight="1">
      <c r="A13" s="8" t="str">
        <v>AOW04: Island Food Systems</v>
      </c>
      <c r="B13" s="4" t="str">
        <v>WorldFish</v>
      </c>
      <c r="C13" s="4" t="str">
        <v>4.1.1 SUSTAINABILITY</v>
      </c>
      <c r="D13" s="4" t="str">
        <v>AW4P1: Sustainable Food Production- By December 2026, train at least 23 participants through capacity-strengthening activities with Centre for Pacific Crops and Trees to improve skills in conserving and rescuing plant genetic resources in Pacific Island contexts</v>
      </c>
      <c r="E13" s="4" t="str">
        <v>Number of people trained (capacity sharing for development)</v>
      </c>
      <c r="F13" s="4" t="str">
        <v>Timor-Leste, Solomon Islands, Papua New Guinea</v>
      </c>
      <c r="G13" s="5">
        <v>23</v>
      </c>
      <c r="H13" s="5">
        <v>0</v>
      </c>
      <c r="I13" s="4" t="str">
        <v/>
      </c>
      <c r="J13" s="4">
        <v>6901</v>
      </c>
    </row>
    <row r="14" ht="50" customHeight="1">
      <c r="B14" s="4" t="str">
        <v>WorldFish</v>
      </c>
      <c r="D14" s="4" t="str">
        <v>AW4P4: Innovation Hubs for Islands Food Systems- Report on Island future fellows impacts and lessons learned for immersive curriculums in the Pacific</v>
      </c>
      <c r="E14" s="4" t="str">
        <v>Number of knowledge products</v>
      </c>
      <c r="F14" s="4" t="str">
        <v>Solomon Islands</v>
      </c>
      <c r="G14" s="5">
        <v>1</v>
      </c>
      <c r="H14" s="5">
        <v>50000</v>
      </c>
      <c r="I14" s="4" t="str">
        <v xml:space="preserve">Budget to support one report </v>
      </c>
      <c r="J14" s="4">
        <v>6902</v>
      </c>
    </row>
    <row r="15" ht="50" customHeight="1">
      <c r="B15" s="4" t="str">
        <v>WorldFish</v>
      </c>
      <c r="D15" s="4" t="str">
        <v>AW4P4: Innovation Hubs for Islands Food Systems- Community members, including youth, trained on practices that support resilient island food systems</v>
      </c>
      <c r="E15" s="4" t="str">
        <v>Number of people trained (capacity sharing for development)</v>
      </c>
      <c r="F15" s="4" t="str">
        <v>Solomon Islands</v>
      </c>
      <c r="G15" s="5">
        <v>200</v>
      </c>
      <c r="H15" s="5">
        <v>80000</v>
      </c>
      <c r="I15" s="4" t="str">
        <v>Budget for training 200 men, women and youth</v>
      </c>
      <c r="J15" s="4">
        <v>6903</v>
      </c>
    </row>
    <row r="16" ht="50" customHeight="1">
      <c r="B16" s="4" t="str">
        <v>WorldFish</v>
      </c>
      <c r="D16" s="4" t="str">
        <v>AW4P4: Innovation Hubs for Islands Food Systems- Expanded demonstration sites and facilities at Nusatupe to support SINU fellowships and community trainings for building resilient island food systems</v>
      </c>
      <c r="E16" s="4" t="str">
        <v>Number of innovations (innovation development)</v>
      </c>
      <c r="F16" s="4" t="str">
        <v>Solomon Islands</v>
      </c>
      <c r="G16" s="5">
        <v>3</v>
      </c>
      <c r="H16" s="5">
        <v>80000</v>
      </c>
      <c r="I16" s="4" t="str">
        <v>Budget for 3 New innovations/demonstrations</v>
      </c>
      <c r="J16" s="4">
        <v>6904</v>
      </c>
    </row>
    <row r="17" ht="50" customHeight="1">
      <c r="B17" s="4" t="str">
        <v>WorldFish</v>
      </c>
      <c r="D17" s="4" t="str">
        <v>AW4P4: Innovation Hubs for Islands Food Systems- complete 1 evaluation study documenting training impacts, participant outcomes, and lessons learned from the Island Future Fellows program to improve immersive curriculum design in the Pacific.</v>
      </c>
      <c r="E17" s="4" t="str">
        <v>Number of people trained (capacity sharing for development)</v>
      </c>
      <c r="F17" s="4" t="str">
        <v>Solomon Islands</v>
      </c>
      <c r="G17" s="5">
        <v>20</v>
      </c>
      <c r="H17" s="5">
        <v>0</v>
      </c>
      <c r="I17" s="4" t="str">
        <v/>
      </c>
      <c r="J17" s="4">
        <v>6905</v>
      </c>
    </row>
    <row r="18" ht="50" customHeight="1">
      <c r="B18" s="4" t="str">
        <v>WorldFish</v>
      </c>
      <c r="D18" s="4" t="str">
        <v>AW4P4: Innovation Hubs for Islands Food Systems- Complete 1 evaluation study documenting training impacts, participant outcomes, and lessons learned from the Island Future Fellows program to improve immersive curriculum design in the Pacific.</v>
      </c>
      <c r="E18" s="4" t="str">
        <v>Number of knowledge products</v>
      </c>
      <c r="F18" s="4" t="str">
        <v>Solomon Islands</v>
      </c>
      <c r="G18" s="5">
        <v>2</v>
      </c>
      <c r="H18" s="5">
        <v>120000</v>
      </c>
      <c r="I18" s="4" t="str">
        <v>20 Island future fellows</v>
      </c>
      <c r="J18" s="4">
        <v>6906</v>
      </c>
    </row>
    <row r="19" ht="50" customHeight="1">
      <c r="B19" s="4" t="str">
        <v>WorldFish</v>
      </c>
      <c r="D19" s="4" t="str">
        <v>AW4P3: Healthy Diets and Nutrition- Hold at least 3 multi-sector training events and workshops on nutrition-sensitive fisheries, agriculture extension services, and school meal programming, resulting in improved knowledge and capacity for implementation.</v>
      </c>
      <c r="E19" s="4" t="str">
        <v>custom</v>
      </c>
      <c r="F19" s="4" t="str">
        <v>Timor-Leste</v>
      </c>
      <c r="G19" s="5">
        <v>3</v>
      </c>
      <c r="H19" s="5">
        <v>50000</v>
      </c>
      <c r="I19" s="4" t="str">
        <v>3 Events and workshops</v>
      </c>
      <c r="J19" s="4">
        <v>6907</v>
      </c>
    </row>
    <row r="20" ht="50" customHeight="1">
      <c r="B20" s="4" t="str">
        <v>WorldFish</v>
      </c>
      <c r="D20" s="4" t="str">
        <v>AW4P3: Healthy Diets and Nutrition- KPI- Produce 2 policy-oriented knowledge products that synthesize evidence and provide actionable recommendations to accelerate policy innovation for healthy diets and food system resilience in Pacific Island contexts.</v>
      </c>
      <c r="E20" s="4" t="str">
        <v>Number of knowledge products</v>
      </c>
      <c r="F20" s="4" t="str">
        <v>Timor-Leste, Solomon Islands</v>
      </c>
      <c r="G20" s="5">
        <v>2</v>
      </c>
      <c r="H20" s="5">
        <v>60000</v>
      </c>
      <c r="I20" s="4" t="str">
        <v>2 Knowledge products (DevPolicy blog, SPC Bulletin)</v>
      </c>
      <c r="J20" s="4">
        <v>6908</v>
      </c>
    </row>
    <row r="21" ht="50" customHeight="1">
      <c r="B21" s="4" t="str">
        <v>WorldFish</v>
      </c>
      <c r="D21" s="4" t="str">
        <v xml:space="preserve"> AW4P3: Healthy Diets and Nutrition- Building coalitions to counter island food system transitions with Indigenous tok stori sessions and island food council event</v>
      </c>
      <c r="E21" s="4" t="str">
        <v>Number of people trained (capacity sharing for development)</v>
      </c>
      <c r="F21" s="4" t="str">
        <v>Solomon Islands</v>
      </c>
      <c r="G21" s="5">
        <v>15</v>
      </c>
      <c r="H21" s="5">
        <v>80000</v>
      </c>
      <c r="I21" s="4" t="str">
        <v>Budget for capacity training</v>
      </c>
      <c r="J21" s="4">
        <v>6909</v>
      </c>
    </row>
    <row r="22" ht="50" customHeight="1">
      <c r="B22" s="4" t="str">
        <v>WorldFish</v>
      </c>
      <c r="D22" s="4" t="str">
        <v>AW4P1: Sustainable Food Production- KPI: Produce 1 knowledge product that synthesizes evidence on linking biodiversity to diets in island food systems, providing actionable recommendations to strengthen food system resilience.</v>
      </c>
      <c r="E22" s="4" t="str">
        <v>Number of knowledge products</v>
      </c>
      <c r="F22" s="4" t="str">
        <v>Fiji, Papua New Guinea</v>
      </c>
      <c r="G22" s="5">
        <v>1</v>
      </c>
      <c r="H22" s="5">
        <v>100000</v>
      </c>
      <c r="I22" s="4" t="str">
        <v>Budget for [WF-&gt; WV] Linking biodiversity to diets for island food system resilience</v>
      </c>
      <c r="J22" s="4">
        <v>6914</v>
      </c>
    </row>
    <row r="23" ht="50" customHeight="1">
      <c r="B23" s="4" t="str">
        <v>WorldFish</v>
      </c>
      <c r="D23" s="4" t="str">
        <v>By December 2026, train at least 23 participants through capacity-strengthening activities with Centre for Pacific Crops and Trees to improve skills in conserving and rescuing plant genetic resources in Pacific Island contexts</v>
      </c>
      <c r="E23" s="4" t="str">
        <v>Number of people trained (capacity sharing for development)</v>
      </c>
      <c r="F23" s="4" t="str">
        <v>Papua New Guinea, Timor-Leste, Solomon Islands</v>
      </c>
      <c r="G23" s="5">
        <v>23</v>
      </c>
      <c r="H23" s="5">
        <v>100000</v>
      </c>
      <c r="I23" s="4" t="str">
        <v xml:space="preserve">Budget for Trainings, Plan for 2027 accessions of 23 vegetable varieties </v>
      </c>
      <c r="J23" s="4">
        <v>6916</v>
      </c>
    </row>
    <row r="24" ht="50" customHeight="1">
      <c r="B24" s="4" t="str">
        <v>WorldFish</v>
      </c>
      <c r="D24" s="4" t="str">
        <v>AW4P1: Sustainable Food Production- More sustainable and resilient island food system planning through comparative analyses of community-based resource management in Solomon Islands and Timor-Lest</v>
      </c>
      <c r="E24" s="4" t="str">
        <v>Number of knowledge products</v>
      </c>
      <c r="F24" s="4" t="str">
        <v>Timor-Leste, Solomon Islands</v>
      </c>
      <c r="G24" s="5">
        <v>2</v>
      </c>
      <c r="H24" s="5">
        <v>100000</v>
      </c>
      <c r="I24" s="4" t="str">
        <v>Budget for 3 Knowledge products: 1 brief on CBRM contributing to island food systems;  2 country-specific briefs distilling policy implications; 1 draft journal article prepared for publication in 2027 (not for 2026 reporting)</v>
      </c>
      <c r="J24" s="4">
        <v>6917</v>
      </c>
    </row>
    <row r="25" ht="50" customHeight="1">
      <c r="B25" s="4" t="str">
        <v>WorldFish</v>
      </c>
      <c r="D25" s="4" t="str">
        <v>AW4P1: Sustainable Food Production- Strengthened integration with SPC for sustainable and resilient production and diverse diets in Pacific island food systems</v>
      </c>
      <c r="E25" s="4" t="str">
        <v>Number of knowledge products</v>
      </c>
      <c r="F25" s="4" t="str">
        <v>Timor-Leste, Solomon Islands, Papua New Guinea</v>
      </c>
      <c r="G25" s="5">
        <v>3</v>
      </c>
      <c r="H25" s="5">
        <v>200000</v>
      </c>
      <c r="I25" s="4" t="str">
        <v xml:space="preserve">Budget for 1 Knowledge product 2030 Strategy for CGIAR - SPC-LRD collaboration; 1. Knowledge product as a brief on piloting CGIAR - SPC-LRD research (WF, CIP, WV, SPC-LRD) </v>
      </c>
      <c r="J25" s="4">
        <v>6918</v>
      </c>
    </row>
    <row r="26" ht="50" customHeight="1">
      <c r="B26" s="4" t="str">
        <v>WorldFish</v>
      </c>
      <c r="D26" s="4" t="str">
        <v xml:space="preserve"> AW4P4: Innovation Hubs for Islands Food Systems- Strengthening evidence and planning for sustainable sourcing of aquatic foods in Timor-Leste's school meal program</v>
      </c>
      <c r="E26" s="4" t="str">
        <v>Number of knowledge products</v>
      </c>
      <c r="F26" s="4" t="str">
        <v>Timor-Leste</v>
      </c>
      <c r="G26" s="5">
        <v>1</v>
      </c>
      <c r="H26" s="5">
        <v>50000</v>
      </c>
      <c r="I26" s="4" t="str">
        <v>Budget is allocated to deliver one knowledge product supporting the school meal program</v>
      </c>
      <c r="J26" s="4">
        <v>7905</v>
      </c>
    </row>
    <row r="27" ht="50" customHeight="1">
      <c r="A27" s="4" t="str">
        <v>AOW04: Island Food Systems</v>
      </c>
      <c r="B27" s="4" t="str">
        <v>WorldFish</v>
      </c>
      <c r="C27" s="4" t="str">
        <v>4.3.2 PROGRAMMING</v>
      </c>
      <c r="D27" s="4" t="str">
        <v>AW4P5:  Diagnosing Island Food System Resilience- National island food system assessment and template for future assessments</v>
      </c>
      <c r="E27" s="4" t="str">
        <v>Number of knowledge products</v>
      </c>
      <c r="F27" s="4" t="str">
        <v>Solomon Islands, Timor-Leste</v>
      </c>
      <c r="G27" s="5">
        <v>2</v>
      </c>
      <c r="H27" s="5">
        <v>110000</v>
      </c>
      <c r="I27" s="4" t="str">
        <v>Staff and operational budget to 1 Journal article + 1 synthesis report</v>
      </c>
      <c r="J27" s="4">
        <v>6919</v>
      </c>
    </row>
    <row r="28" ht="50" customHeight="1">
      <c r="B28" s="4" t="str">
        <v>WorldFish</v>
      </c>
      <c r="D28" s="4" t="str">
        <v xml:space="preserve"> AW4P5: Diagnosing Island Food System Resilience- Strengthening analytical foundations for harmonized island food system assessments and precision development advice</v>
      </c>
      <c r="E28" s="4" t="str">
        <v>Number of innovations (innovation development)</v>
      </c>
      <c r="F28" s="4" t="str">
        <v>Solomon Islands, Timor-Leste</v>
      </c>
      <c r="G28" s="5">
        <v>2</v>
      </c>
      <c r="H28" s="5">
        <v>150000</v>
      </c>
      <c r="I28" s="4" t="str">
        <v>1 Frameworks + 1 Database developed</v>
      </c>
      <c r="J28" s="4">
        <v>6920</v>
      </c>
    </row>
    <row r="29" ht="50" customHeight="1">
      <c r="B29" s="4" t="str">
        <v>WorldFish</v>
      </c>
      <c r="D29" s="4" t="str">
        <v>AW4P5: Diagnosing Island Food System Resilience- Develop and operationalize 1 Pacific Island food system data and analytics interface that synthesizes resilience indicators and provides decision-support insights for policymakers and stakeholders.</v>
      </c>
      <c r="E29" s="4" t="str">
        <v>Number of people trained (capacity sharing for development)</v>
      </c>
      <c r="F29" s="4" t="str">
        <v>Fiji, New Caledonia, Solomon Islands</v>
      </c>
      <c r="G29" s="5">
        <v>50</v>
      </c>
      <c r="H29" s="5">
        <v>200000</v>
      </c>
      <c r="I29" s="4" t="str">
        <v>budget to support 50 National statistics officers reached</v>
      </c>
      <c r="J29" s="4">
        <v>6921</v>
      </c>
    </row>
    <row r="30" ht="50" customHeight="1">
      <c r="B30" s="4" t="str">
        <v>WorldFish</v>
      </c>
      <c r="D30" s="4" t="str">
        <v>AW4P7: Island-to-island exchange and research integration- Strengthening regional scientific capacity with early career scientists int he Pacific</v>
      </c>
      <c r="E30" s="4" t="str">
        <v>Number of people trained (capacity sharing for development)</v>
      </c>
      <c r="F30" s="4" t="str">
        <v>Solomon Islands</v>
      </c>
      <c r="G30" s="5">
        <v>10</v>
      </c>
      <c r="H30" s="5">
        <v>127500</v>
      </c>
      <c r="I30" s="4" t="str">
        <v xml:space="preserve">Budget to support 1 Pacific Capacity Strengthening Strategy; 3 Early Career Scientsist on placement and accessing grants; 1 Granting mechanism to support Pacific Early Career Scientists to particpate in Regional Research SYmposium </v>
      </c>
      <c r="J30" s="4">
        <v>7772</v>
      </c>
    </row>
    <row r="31" ht="50" customHeight="1">
      <c r="B31" s="4" t="str">
        <v>WorldFish</v>
      </c>
      <c r="D31" s="4" t="str">
        <v>AW4P4: Innovation Hubs for Islands Food Systems- Report on Island future fellows impacts and lessons learned for immersive curriculums in the Pacific</v>
      </c>
      <c r="E31" s="4" t="str">
        <v>Number of knowledge products</v>
      </c>
      <c r="F31" s="4" t="str">
        <v>Solomon Islands</v>
      </c>
      <c r="G31" s="5">
        <v>1</v>
      </c>
      <c r="H31" s="5">
        <v>0</v>
      </c>
      <c r="I31" s="4" t="str">
        <v/>
      </c>
      <c r="J31" s="4">
        <v>8249</v>
      </c>
    </row>
    <row r="32" ht="50" customHeight="1">
      <c r="B32" s="4" t="str">
        <v>WorldFish</v>
      </c>
      <c r="D32" s="4" t="str">
        <v>AW4P4: Innovation Hubs for Islands Food Systems- Community members, including youth, trained on practices that support resilient island food systems</v>
      </c>
      <c r="E32" s="4" t="str">
        <v>Number of people trained (capacity sharing for development)</v>
      </c>
      <c r="F32" s="4" t="str">
        <v>Solomon Islands</v>
      </c>
      <c r="G32" s="5">
        <v>200</v>
      </c>
      <c r="H32" s="5">
        <v>0</v>
      </c>
      <c r="I32" s="4" t="str">
        <v/>
      </c>
      <c r="J32" s="4">
        <v>8250</v>
      </c>
    </row>
    <row r="33" ht="50" customHeight="1">
      <c r="B33" s="4" t="str">
        <v>WorldFish</v>
      </c>
      <c r="D33" s="4" t="str">
        <v>AW4P4: Innovation Hubs for Islands Food Systems- Expanded demonstration sites and facilities at Nusatupe to support SINU fellowships and community trainings for building resilient island food systems</v>
      </c>
      <c r="E33" s="4" t="str">
        <v>Number of innovations (innovation development)</v>
      </c>
      <c r="F33" s="4" t="str">
        <v>Solomon Islands</v>
      </c>
      <c r="G33" s="5">
        <v>3</v>
      </c>
      <c r="H33" s="5">
        <v>0</v>
      </c>
      <c r="I33" s="4" t="str">
        <v/>
      </c>
      <c r="J33" s="4">
        <v>8251</v>
      </c>
    </row>
    <row r="34" ht="50" customHeight="1">
      <c r="B34" s="4" t="str">
        <v>WorldFish</v>
      </c>
      <c r="D34" s="4" t="str">
        <v>AW4P4: Innovation Hubs for Islands Food Systems- complete 1 evaluation study documenting training impacts, participant outcomes, and lessons learned from the Island Future Fellows program to improve immersive curriculum design in the Pacific.</v>
      </c>
      <c r="E34" s="4" t="str">
        <v>Number of people trained (capacity sharing for development)</v>
      </c>
      <c r="F34" s="4" t="str">
        <v>Solomon Islands</v>
      </c>
      <c r="G34" s="5">
        <v>20</v>
      </c>
      <c r="H34" s="5">
        <v>0</v>
      </c>
      <c r="I34" s="4" t="str">
        <v/>
      </c>
      <c r="J34" s="4">
        <v>8252</v>
      </c>
    </row>
    <row r="35" ht="50" customHeight="1">
      <c r="B35" s="4" t="str">
        <v>WorldFish</v>
      </c>
      <c r="D35" s="4" t="str">
        <v>AW4P4: Innovation Hubs for Islands Food Systems- Complete 1 evaluation study documenting training impacts, participant outcomes, and lessons learned from the Island Future Fellows program to improve immersive curriculum design in the Pacific.</v>
      </c>
      <c r="E35" s="4" t="str">
        <v>Number of knowledge products</v>
      </c>
      <c r="F35" s="4" t="str">
        <v>Solomon Islands</v>
      </c>
      <c r="G35" s="5">
        <v>2</v>
      </c>
      <c r="H35" s="5">
        <v>0</v>
      </c>
      <c r="I35" s="4" t="str">
        <v/>
      </c>
      <c r="J35" s="4">
        <v>8253</v>
      </c>
    </row>
    <row r="36" ht="50" customHeight="1">
      <c r="B36" s="4" t="str">
        <v>WorldFish</v>
      </c>
      <c r="D36" s="4" t="str">
        <v>AW4P3: Healthy Diets and Nutrition- Hold at least 3 multi-sector training events and workshops on nutrition-sensitive fisheries, agriculture extension services, and school meal programming, resulting in improved knowledge and capacity for implementation.</v>
      </c>
      <c r="E36" s="4" t="str">
        <v>custom</v>
      </c>
      <c r="F36" s="4" t="str">
        <v>Timor-Leste</v>
      </c>
      <c r="G36" s="5">
        <v>3</v>
      </c>
      <c r="H36" s="5">
        <v>0</v>
      </c>
      <c r="I36" s="4" t="str">
        <v/>
      </c>
      <c r="J36" s="4">
        <v>8254</v>
      </c>
    </row>
    <row r="37" ht="50" customHeight="1">
      <c r="B37" s="4" t="str">
        <v>WorldFish</v>
      </c>
      <c r="D37" s="4" t="str">
        <v>AW4P3: Healthy Diets and Nutrition- KPI- Produce 2 policy-oriented knowledge products that synthesize evidence and provide actionable recommendations to accelerate policy innovation for healthy diets and food system resilience in Pacific Island contexts.</v>
      </c>
      <c r="E37" s="4" t="str">
        <v>Number of knowledge products</v>
      </c>
      <c r="F37" s="4" t="str">
        <v>Timor-Leste, Solomon Islands</v>
      </c>
      <c r="G37" s="5">
        <v>2</v>
      </c>
      <c r="H37" s="5">
        <v>0</v>
      </c>
      <c r="I37" s="4" t="str">
        <v/>
      </c>
      <c r="J37" s="4">
        <v>8255</v>
      </c>
    </row>
    <row r="38" ht="50" customHeight="1">
      <c r="B38" s="4" t="str">
        <v>WorldFish</v>
      </c>
      <c r="D38" s="4" t="str">
        <v xml:space="preserve"> AW4P3: Healthy Diets and Nutrition- Building coalitions to counter island food system transitions with Indigenous tok stori sessions and island food council event</v>
      </c>
      <c r="E38" s="4" t="str">
        <v>Number of people trained (capacity sharing for development)</v>
      </c>
      <c r="F38" s="4" t="str">
        <v>Solomon Islands</v>
      </c>
      <c r="G38" s="5">
        <v>15</v>
      </c>
      <c r="H38" s="5">
        <v>0</v>
      </c>
      <c r="I38" s="4" t="str">
        <v/>
      </c>
      <c r="J38" s="4">
        <v>8256</v>
      </c>
    </row>
    <row r="39" ht="50" customHeight="1">
      <c r="A39" s="4" t="str">
        <v>AOW04: Island Food Systems</v>
      </c>
      <c r="B39" s="4" t="str">
        <v>WorldFish</v>
      </c>
      <c r="C39" s="4" t="str">
        <v>4.2.3 NETWORKS</v>
      </c>
      <c r="D39" s="4" t="str">
        <v xml:space="preserve"> Enable and coordinate regional Pacific – Caribbean professional exchange</v>
      </c>
      <c r="E39" s="4" t="str">
        <v>custom</v>
      </c>
      <c r="F39" s="4" t="str">
        <v>Solomon Islands, Timor-Leste, Jamaica</v>
      </c>
      <c r="G39" s="5">
        <v>1</v>
      </c>
      <c r="H39" s="5">
        <v>0</v>
      </c>
      <c r="I39" s="4" t="str">
        <v/>
      </c>
      <c r="J39" s="4">
        <v>6922</v>
      </c>
    </row>
    <row r="40" ht="50" customHeight="1">
      <c r="B40" s="4" t="str">
        <v>WorldFish</v>
      </c>
      <c r="D40" s="4" t="str">
        <v>AW4P6: Research Integration (CC)- Conduct 1 capacity-sharing event with at least 50 participants to strengthen stakeholder capacity to integrate food systems into global island resilience and innovation planning processes.</v>
      </c>
      <c r="E40" s="4" t="str">
        <v>Number of people trained (capacity sharing for development)</v>
      </c>
      <c r="F40" s="4" t="str">
        <v>Solomon Islands, Timor-Leste</v>
      </c>
      <c r="G40" s="5">
        <v>1</v>
      </c>
      <c r="H40" s="5">
        <v>103394</v>
      </c>
      <c r="I40" s="4" t="str">
        <v>1 Regional roundtable co-arranged with SPC</v>
      </c>
      <c r="J40" s="4">
        <v>6923</v>
      </c>
    </row>
    <row r="41" ht="50" customHeight="1">
      <c r="B41" s="4" t="str">
        <v>WorldFish</v>
      </c>
      <c r="D41" s="4" t="str">
        <v>Co-development and hosting of Provincial Fisheries Officers Conference</v>
      </c>
      <c r="E41" s="4" t="str">
        <v>custom</v>
      </c>
      <c r="F41" s="4" t="str">
        <v>Solomon Islands, Timor-Leste</v>
      </c>
      <c r="G41" s="5">
        <v>1</v>
      </c>
      <c r="H41" s="5">
        <v>0</v>
      </c>
      <c r="I41" s="4" t="str">
        <v/>
      </c>
      <c r="J41" s="4">
        <v>6924</v>
      </c>
    </row>
    <row r="42" ht="50" customHeight="1">
      <c r="B42" s="4" t="str">
        <v>WorldFish</v>
      </c>
      <c r="D42" s="4" t="str">
        <v>conduct 1 capacity-sharing event that trains at least 50 participants, resulting in improved knowledge and skills, as measured by the number of people trained.</v>
      </c>
      <c r="E42" s="4" t="str">
        <v>Number of people trained (capacity sharing for development)</v>
      </c>
      <c r="F42" s="4" t="str">
        <v>New Caledonia, Jamaica, Fiji, Timor-Leste, Solomon Islands</v>
      </c>
      <c r="G42" s="5">
        <v>50</v>
      </c>
      <c r="H42" s="5">
        <v>0</v>
      </c>
      <c r="I42" s="4" t="str">
        <v/>
      </c>
      <c r="J42" s="4">
        <v>7386</v>
      </c>
    </row>
    <row r="43" ht="50" customHeight="1">
      <c r="B43" s="4" t="str">
        <v>WorldFish</v>
      </c>
      <c r="D43" s="4" t="str">
        <v>AW4P1: Sustainable Food Production- By December 2026, train at least 23 participants through capacity-strengthening activities with Centre for Pacific Crops and Trees to improve skills in conserving and rescuing plant genetic resources in Pacific Island contexts</v>
      </c>
      <c r="E43" s="4" t="str">
        <v>Number of people trained (capacity sharing for development)</v>
      </c>
      <c r="F43" s="4" t="str">
        <v>Timor-Leste, Solomon Islands, Papua New Guinea</v>
      </c>
      <c r="G43" s="5">
        <v>23</v>
      </c>
      <c r="H43" s="5">
        <v>0</v>
      </c>
      <c r="I43" s="4" t="str">
        <v/>
      </c>
      <c r="J43" s="4">
        <v>8257</v>
      </c>
    </row>
    <row r="44" ht="50" customHeight="1">
      <c r="B44" s="4" t="str">
        <v>WorldFish</v>
      </c>
      <c r="D44" s="4" t="str">
        <v>AW4P4: Innovation Hubs for Islands Food Systems- Complete 1 evaluation study documenting training impacts, participant outcomes, and lessons learned from the Island Future Fellows program to improve immersive curriculum design in the Pacific.</v>
      </c>
      <c r="E44" s="4" t="str">
        <v>Number of knowledge products</v>
      </c>
      <c r="F44" s="4" t="str">
        <v>Solomon Islands</v>
      </c>
      <c r="G44" s="5">
        <v>2</v>
      </c>
      <c r="H44" s="5">
        <v>0</v>
      </c>
      <c r="I44" s="4" t="str">
        <v/>
      </c>
      <c r="J44" s="4">
        <v>8258</v>
      </c>
    </row>
    <row r="45" ht="50" customHeight="1">
      <c r="B45" s="4" t="str">
        <v>WorldFish</v>
      </c>
      <c r="D45" s="4" t="str">
        <v>AW4P3: Healthy Diets and Nutrition- Hold at least 3 multi-sector training events and workshops on nutrition-sensitive fisheries, agriculture extension services, and school meal programming, resulting in improved knowledge and capacity for implementation.</v>
      </c>
      <c r="E45" s="4" t="str">
        <v>custom</v>
      </c>
      <c r="F45" s="4" t="str">
        <v>Timor-Leste</v>
      </c>
      <c r="G45" s="5">
        <v>3</v>
      </c>
      <c r="H45" s="5">
        <v>0</v>
      </c>
      <c r="I45" s="4" t="str">
        <v/>
      </c>
      <c r="J45" s="4">
        <v>8259</v>
      </c>
    </row>
    <row r="46" ht="50" customHeight="1">
      <c r="B46" s="4" t="str">
        <v>WorldFish</v>
      </c>
      <c r="D46" s="4" t="str">
        <v>AW4P3: Healthy Diets and Nutrition- KPI- Produce 2 policy-oriented knowledge products that synthesize evidence and provide actionable recommendations to accelerate policy innovation for healthy diets and food system resilience in Pacific Island contexts.</v>
      </c>
      <c r="E46" s="4" t="str">
        <v>Number of knowledge products</v>
      </c>
      <c r="F46" s="4" t="str">
        <v>Timor-Leste, Solomon Islands</v>
      </c>
      <c r="G46" s="5">
        <v>2</v>
      </c>
      <c r="H46" s="5">
        <v>0</v>
      </c>
      <c r="I46" s="4" t="str">
        <v/>
      </c>
      <c r="J46" s="4">
        <v>8260</v>
      </c>
    </row>
    <row r="47" ht="50" customHeight="1">
      <c r="B47" s="4" t="str">
        <v>WorldFish</v>
      </c>
      <c r="D47" s="4" t="str">
        <v xml:space="preserve"> AW4P3: Healthy Diets and Nutrition- Building coalitions to counter island food system transitions with Indigenous tok stori sessions and island food council event</v>
      </c>
      <c r="E47" s="4" t="str">
        <v>Number of people trained (capacity sharing for development)</v>
      </c>
      <c r="F47" s="4" t="str">
        <v>Solomon Islands</v>
      </c>
      <c r="G47" s="5">
        <v>15</v>
      </c>
      <c r="H47" s="5">
        <v>0</v>
      </c>
      <c r="I47" s="4" t="str">
        <v/>
      </c>
      <c r="J47" s="4">
        <v>8261</v>
      </c>
    </row>
    <row r="48" ht="50" customHeight="1">
      <c r="B48" s="4" t="str">
        <v>WorldFish</v>
      </c>
      <c r="D48" s="4" t="str">
        <v>AW4P1: Sustainable Food Production- KPI: Produce 1 knowledge product that synthesizes evidence on linking biodiversity to diets in island food systems, providing actionable recommendations to strengthen food system resilience.</v>
      </c>
      <c r="E48" s="4" t="str">
        <v>Number of knowledge products</v>
      </c>
      <c r="F48" s="4" t="str">
        <v>Fiji, Papua New Guinea</v>
      </c>
      <c r="G48" s="5">
        <v>1</v>
      </c>
      <c r="H48" s="5">
        <v>0</v>
      </c>
      <c r="I48" s="4" t="str">
        <v/>
      </c>
      <c r="J48" s="4">
        <v>8262</v>
      </c>
    </row>
    <row r="49" ht="50" customHeight="1">
      <c r="B49" s="4" t="str">
        <v>WorldFish</v>
      </c>
      <c r="D49" s="4" t="str">
        <v>By December 2026, train at least 23 participants through capacity-strengthening activities with Centre for Pacific Crops and Trees to improve skills in conserving and rescuing plant genetic resources in Pacific Island contexts</v>
      </c>
      <c r="E49" s="4" t="str">
        <v>Number of people trained (capacity sharing for development)</v>
      </c>
      <c r="F49" s="4" t="str">
        <v>Papua New Guinea, Timor-Leste, Solomon Islands</v>
      </c>
      <c r="G49" s="5">
        <v>23</v>
      </c>
      <c r="H49" s="5">
        <v>0</v>
      </c>
      <c r="I49" s="4" t="str">
        <v/>
      </c>
      <c r="J49" s="4">
        <v>8263</v>
      </c>
    </row>
    <row r="50" ht="50" customHeight="1">
      <c r="B50" s="4" t="str">
        <v>WorldFish</v>
      </c>
      <c r="D50" s="4" t="str">
        <v>AW4P1: Sustainable Food Production- More sustainable and resilient island food system planning through comparative analyses of community-based resource management in Solomon Islands and Timor-Lest</v>
      </c>
      <c r="E50" s="4" t="str">
        <v>Number of knowledge products</v>
      </c>
      <c r="F50" s="4" t="str">
        <v>Timor-Leste, Solomon Islands</v>
      </c>
      <c r="G50" s="5">
        <v>2</v>
      </c>
      <c r="H50" s="5">
        <v>0</v>
      </c>
      <c r="I50" s="4" t="str">
        <v/>
      </c>
      <c r="J50" s="4">
        <v>8264</v>
      </c>
    </row>
    <row r="51" ht="50" customHeight="1">
      <c r="B51" s="4" t="str">
        <v>WorldFish</v>
      </c>
      <c r="D51" s="4" t="str">
        <v>AW4P1: Sustainable Food Production- Strengthened integration with SPC for sustainable and resilient production and diverse diets in Pacific island food systems</v>
      </c>
      <c r="E51" s="4" t="str">
        <v>Number of knowledge products</v>
      </c>
      <c r="F51" s="4" t="str">
        <v>Timor-Leste, Solomon Islands, Papua New Guinea</v>
      </c>
      <c r="G51" s="5">
        <v>3</v>
      </c>
      <c r="H51" s="5">
        <v>0</v>
      </c>
      <c r="I51" s="4" t="str">
        <v/>
      </c>
      <c r="J51" s="4">
        <v>8265</v>
      </c>
    </row>
    <row r="52" ht="50" customHeight="1">
      <c r="A52" s="4" t="str">
        <v>AOW04: Island Food Systems</v>
      </c>
      <c r="B52" s="4" t="str">
        <v>WorldFish</v>
      </c>
      <c r="C52" s="4" t="str">
        <v>4.3.5 DIAGNOSTICS</v>
      </c>
      <c r="D52" s="4" t="str">
        <v>AW4P7: Island-to-island exchange and research integration- KPI- Produce 2 knowledge products cataloguing aquatic food genetic diversity in island food systems, providing a structured evidence base to support research, conservation, and policy decisions.</v>
      </c>
      <c r="E52" s="4" t="str">
        <v>Number of knowledge products</v>
      </c>
      <c r="F52" s="4" t="str">
        <v>Solomon Islands, Timor-Leste</v>
      </c>
      <c r="G52" s="5">
        <v>2</v>
      </c>
      <c r="H52" s="5">
        <v>127500</v>
      </c>
      <c r="I52" s="4" t="str">
        <v>Budget will support 3 National consultations; 1 HoF endorsed species catalog ; 1 Scientific paper</v>
      </c>
      <c r="J52" s="4">
        <v>7773</v>
      </c>
    </row>
    <row r="53" ht="50" customHeight="1">
      <c r="B53" s="4" t="str">
        <v>WorldFish</v>
      </c>
      <c r="D53" s="4" t="str">
        <v>AW4P7: Island-to-island exchange and research integration- Strengthening regional scientific capacity with early career scientists int he Pacific</v>
      </c>
      <c r="E53" s="4" t="str">
        <v>Number of people trained (capacity sharing for development)</v>
      </c>
      <c r="F53" s="4" t="str">
        <v>Solomon Islands</v>
      </c>
      <c r="G53" s="5">
        <v>10</v>
      </c>
      <c r="H53" s="5">
        <v>0</v>
      </c>
      <c r="I53" s="4" t="str">
        <v/>
      </c>
      <c r="J53" s="4">
        <v>8276</v>
      </c>
    </row>
    <row r="54" ht="50" customHeight="1">
      <c r="B54" s="4" t="str">
        <v>WorldFish</v>
      </c>
      <c r="D54" s="4" t="str">
        <v xml:space="preserve"> Enable and coordinate regional Pacific – Caribbean professional exchange</v>
      </c>
      <c r="E54" s="4" t="str">
        <v>custom</v>
      </c>
      <c r="F54" s="4" t="str">
        <v>Solomon Islands, Timor-Leste, Jamaica</v>
      </c>
      <c r="G54" s="5">
        <v>1</v>
      </c>
      <c r="H54" s="5">
        <v>0</v>
      </c>
      <c r="I54" s="4" t="str">
        <v/>
      </c>
      <c r="J54" s="4">
        <v>8278</v>
      </c>
    </row>
    <row r="55" ht="50" customHeight="1">
      <c r="B55" s="4" t="str">
        <v>WorldFish</v>
      </c>
      <c r="D55" s="4" t="str">
        <v>AW4P6: Research Integration (CC)- Conduct 1 capacity-sharing event with at least 50 participants to strengthen stakeholder capacity to integrate food systems into global island resilience and innovation planning processes.</v>
      </c>
      <c r="E55" s="4" t="str">
        <v>Number of people trained (capacity sharing for development)</v>
      </c>
      <c r="F55" s="4" t="str">
        <v>Solomon Islands, Timor-Leste</v>
      </c>
      <c r="G55" s="5">
        <v>1</v>
      </c>
      <c r="H55" s="5">
        <v>0</v>
      </c>
      <c r="I55" s="4" t="str">
        <v/>
      </c>
      <c r="J55" s="4">
        <v>8279</v>
      </c>
    </row>
    <row r="56" ht="50" customHeight="1">
      <c r="B56" s="4" t="str">
        <v>WorldFish</v>
      </c>
      <c r="D56" s="4" t="str">
        <v>Co-development and hosting of Provincial Fisheries Officers Conference</v>
      </c>
      <c r="E56" s="4" t="str">
        <v>custom</v>
      </c>
      <c r="F56" s="4" t="str">
        <v>Solomon Islands, Timor-Leste</v>
      </c>
      <c r="G56" s="5">
        <v>1</v>
      </c>
      <c r="H56" s="5">
        <v>0</v>
      </c>
      <c r="I56" s="4" t="str">
        <v/>
      </c>
      <c r="J56" s="4">
        <v>8280</v>
      </c>
    </row>
    <row r="57" ht="50" customHeight="1">
      <c r="B57" s="4" t="str">
        <v>WorldFish</v>
      </c>
      <c r="D57" s="4" t="str">
        <v>AW4P5:  Diagnosing Island Food System Resilience- National island food system assessment and template for future assessments</v>
      </c>
      <c r="E57" s="4" t="str">
        <v>Number of knowledge products</v>
      </c>
      <c r="F57" s="4" t="str">
        <v>Solomon Islands, Timor-Leste</v>
      </c>
      <c r="G57" s="5">
        <v>2</v>
      </c>
      <c r="H57" s="5">
        <v>0</v>
      </c>
      <c r="I57" s="4" t="str">
        <v/>
      </c>
      <c r="J57" s="4">
        <v>8281</v>
      </c>
    </row>
    <row r="58" ht="50" customHeight="1">
      <c r="B58" s="4" t="str">
        <v>WorldFish</v>
      </c>
      <c r="D58" s="4" t="str">
        <v xml:space="preserve"> AW4P5: Diagnosing Island Food System Resilience- Strengthening analytical foundations for harmonized island food system assessments and precision development advice</v>
      </c>
      <c r="E58" s="4" t="str">
        <v>Number of innovations (innovation development)</v>
      </c>
      <c r="F58" s="4" t="str">
        <v>Solomon Islands, Timor-Leste</v>
      </c>
      <c r="G58" s="5">
        <v>2</v>
      </c>
      <c r="H58" s="5">
        <v>0</v>
      </c>
      <c r="I58" s="4" t="str">
        <v/>
      </c>
      <c r="J58" s="4">
        <v>8282</v>
      </c>
    </row>
    <row r="59" ht="50" customHeight="1">
      <c r="B59" s="4" t="str">
        <v>WorldFish</v>
      </c>
      <c r="D59" s="4" t="str">
        <v>AW4P5: Diagnosing Island Food System Resilience- Develop and operationalize 1 Pacific Island food system data and analytics interface that synthesizes resilience indicators and provides decision-support insights for policymakers and stakeholders.</v>
      </c>
      <c r="E59" s="4" t="str">
        <v>Number of people trained (capacity sharing for development)</v>
      </c>
      <c r="F59" s="4" t="str">
        <v>Fiji, New Caledonia, Solomon Islands</v>
      </c>
      <c r="G59" s="5">
        <v>50</v>
      </c>
      <c r="H59" s="5">
        <v>0</v>
      </c>
      <c r="I59" s="4" t="str">
        <v/>
      </c>
      <c r="J59" s="4">
        <v>8283</v>
      </c>
    </row>
    <row r="60" ht="50" customHeight="1">
      <c r="A60" s="4" t="str">
        <v>AOW04: Island Food Systems</v>
      </c>
      <c r="B60" s="4" t="str">
        <v>WorldFish</v>
      </c>
      <c r="C60" s="4" t="str">
        <v>4.1.4 CAPACITY</v>
      </c>
      <c r="D60" s="4" t="str">
        <v>AW4P1: Sustainable Food Production- By December 2026, train at least 23 participants through capacity-strengthening activities with Centre for Pacific Crops and Trees to improve skills in conserving and rescuing plant genetic resources in Pacific Island contexts</v>
      </c>
      <c r="E60" s="4" t="str">
        <v>Number of people trained (capacity sharing for development)</v>
      </c>
      <c r="F60" s="4" t="str">
        <v>Timor-Leste, Solomon Islands, Papua New Guinea</v>
      </c>
      <c r="G60" s="5">
        <v>23</v>
      </c>
      <c r="H60" s="5">
        <v>0</v>
      </c>
      <c r="I60" s="4" t="str">
        <v/>
      </c>
      <c r="J60" s="4">
        <v>8267</v>
      </c>
    </row>
    <row r="61" ht="50" customHeight="1">
      <c r="B61" s="4" t="str">
        <v>WorldFish</v>
      </c>
      <c r="D61" s="4" t="str">
        <v>AW4P4: Innovation Hubs for Islands Food Systems- Report on Island future fellows impacts and lessons learned for immersive curriculums in the Pacific</v>
      </c>
      <c r="E61" s="4" t="str">
        <v>Number of knowledge products</v>
      </c>
      <c r="F61" s="4" t="str">
        <v>Solomon Islands</v>
      </c>
      <c r="G61" s="5">
        <v>1</v>
      </c>
      <c r="H61" s="5">
        <v>0</v>
      </c>
      <c r="I61" s="4" t="str">
        <v/>
      </c>
      <c r="J61" s="4">
        <v>8268</v>
      </c>
    </row>
    <row r="62" ht="50" customHeight="1">
      <c r="B62" s="4" t="str">
        <v>WorldFish</v>
      </c>
      <c r="D62" s="4" t="str">
        <v>AW4P4: Innovation Hubs for Islands Food Systems- Community members, including youth, trained on practices that support resilient island food systems</v>
      </c>
      <c r="E62" s="4" t="str">
        <v>Number of people trained (capacity sharing for development)</v>
      </c>
      <c r="F62" s="4" t="str">
        <v>Solomon Islands</v>
      </c>
      <c r="G62" s="5">
        <v>200</v>
      </c>
      <c r="H62" s="5">
        <v>0</v>
      </c>
      <c r="I62" s="4" t="str">
        <v/>
      </c>
      <c r="J62" s="4">
        <v>8269</v>
      </c>
    </row>
    <row r="63" ht="50" customHeight="1">
      <c r="B63" s="4" t="str">
        <v>WorldFish</v>
      </c>
      <c r="D63" s="4" t="str">
        <v>AW4P4: Innovation Hubs for Islands Food Systems- Expanded demonstration sites and facilities at Nusatupe to support SINU fellowships and community trainings for building resilient island food systems</v>
      </c>
      <c r="E63" s="4" t="str">
        <v>Number of innovations (innovation development)</v>
      </c>
      <c r="F63" s="4" t="str">
        <v>Solomon Islands</v>
      </c>
      <c r="G63" s="5">
        <v>3</v>
      </c>
      <c r="H63" s="5">
        <v>0</v>
      </c>
      <c r="I63" s="4" t="str">
        <v/>
      </c>
      <c r="J63" s="4">
        <v>8270</v>
      </c>
    </row>
    <row r="64" ht="50" customHeight="1">
      <c r="B64" s="4" t="str">
        <v>WorldFish</v>
      </c>
      <c r="D64" s="4" t="str">
        <v>AW4P4: Innovation Hubs for Islands Food Systems- complete 1 evaluation study documenting training impacts, participant outcomes, and lessons learned from the Island Future Fellows program to improve immersive curriculum design in the Pacific.</v>
      </c>
      <c r="E64" s="4" t="str">
        <v>Number of people trained (capacity sharing for development)</v>
      </c>
      <c r="F64" s="4" t="str">
        <v>Solomon Islands</v>
      </c>
      <c r="G64" s="5">
        <v>20</v>
      </c>
      <c r="H64" s="5">
        <v>0</v>
      </c>
      <c r="I64" s="4" t="str">
        <v/>
      </c>
      <c r="J64" s="4">
        <v>8271</v>
      </c>
    </row>
    <row r="65" ht="50" customHeight="1">
      <c r="B65" s="4" t="str">
        <v>WorldFish</v>
      </c>
      <c r="D65" s="4" t="str">
        <v>AW4P1: Sustainable Food Production- KPI: Produce 1 knowledge product that synthesizes evidence on linking biodiversity to diets in island food systems, providing actionable recommendations to strengthen food system resilience.</v>
      </c>
      <c r="E65" s="4" t="str">
        <v>Number of knowledge products</v>
      </c>
      <c r="F65" s="4" t="str">
        <v>Fiji, Papua New Guinea</v>
      </c>
      <c r="G65" s="5">
        <v>1</v>
      </c>
      <c r="H65" s="5">
        <v>0</v>
      </c>
      <c r="I65" s="4" t="str">
        <v/>
      </c>
      <c r="J65" s="4">
        <v>8272</v>
      </c>
    </row>
    <row r="66" ht="50" customHeight="1">
      <c r="B66" s="4" t="str">
        <v>WorldFish</v>
      </c>
      <c r="D66" s="4" t="str">
        <v>By December 2026, train at least 23 participants through capacity-strengthening activities with Centre for Pacific Crops and Trees to improve skills in conserving and rescuing plant genetic resources in Pacific Island contexts</v>
      </c>
      <c r="E66" s="4" t="str">
        <v>Number of people trained (capacity sharing for development)</v>
      </c>
      <c r="F66" s="4" t="str">
        <v>Papua New Guinea, Timor-Leste, Solomon Islands</v>
      </c>
      <c r="G66" s="5">
        <v>23</v>
      </c>
      <c r="H66" s="5">
        <v>0</v>
      </c>
      <c r="I66" s="4" t="str">
        <v/>
      </c>
      <c r="J66" s="4">
        <v>8273</v>
      </c>
    </row>
    <row r="67" ht="50" customHeight="1">
      <c r="B67" s="4" t="str">
        <v>WorldFish</v>
      </c>
      <c r="D67" s="4" t="str">
        <v>AW4P1: Sustainable Food Production- More sustainable and resilient island food system planning through comparative analyses of community-based resource management in Solomon Islands and Timor-Lest</v>
      </c>
      <c r="E67" s="4" t="str">
        <v>Number of knowledge products</v>
      </c>
      <c r="F67" s="4" t="str">
        <v>Timor-Leste, Solomon Islands</v>
      </c>
      <c r="G67" s="5">
        <v>2</v>
      </c>
      <c r="H67" s="5">
        <v>0</v>
      </c>
      <c r="I67" s="4" t="str">
        <v/>
      </c>
      <c r="J67" s="4">
        <v>8274</v>
      </c>
    </row>
    <row r="68" ht="50" customHeight="1">
      <c r="B68" s="4" t="str">
        <v>WorldFish</v>
      </c>
      <c r="D68" s="4" t="str">
        <v>AW4P1: Sustainable Food Production- Strengthened integration with SPC for sustainable and resilient production and diverse diets in Pacific island food systems</v>
      </c>
      <c r="E68" s="4" t="str">
        <v>Number of knowledge products</v>
      </c>
      <c r="F68" s="4" t="str">
        <v>Timor-Leste, Solomon Islands, Papua New Guinea</v>
      </c>
      <c r="G68" s="5">
        <v>3</v>
      </c>
      <c r="H68" s="5">
        <v>0</v>
      </c>
      <c r="I68" s="4" t="str">
        <v/>
      </c>
      <c r="J68" s="4">
        <v>8275</v>
      </c>
    </row>
    <row r="69" ht="25" customHeight="1">
      <c r="C69" s="9" t="str">
        <v>HLO budget subtotal</v>
      </c>
      <c r="H69" s="9">
        <v>1888394</v>
      </c>
      <c r="J69" s="9" t="str">
        <v/>
      </c>
    </row>
  </sheetData>
  <mergeCells count="19">
    <mergeCell ref="A1:A2"/>
    <mergeCell ref="B1:B2"/>
    <mergeCell ref="C1:C2"/>
    <mergeCell ref="D1:H1"/>
    <mergeCell ref="I1:I2"/>
    <mergeCell ref="J1:J2"/>
    <mergeCell ref="C4:C7"/>
    <mergeCell ref="C8:G8"/>
    <mergeCell ref="A3:A8"/>
    <mergeCell ref="C9:C10"/>
    <mergeCell ref="C12:G12"/>
    <mergeCell ref="A9:A12"/>
    <mergeCell ref="C13:C26"/>
    <mergeCell ref="C27:C38"/>
    <mergeCell ref="C39:C51"/>
    <mergeCell ref="C52:C59"/>
    <mergeCell ref="C60:C68"/>
    <mergeCell ref="C69:G69"/>
    <mergeCell ref="A13:A69"/>
  </mergeCells>
  <ignoredErrors>
    <ignoredError numberStoredAsText="1" sqref="A1:J69"/>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AOW04: Island Food Systems</v>
      </c>
      <c r="B2" s="4" t="str">
        <v xml:space="preserve"> Kastom Gaden Association</v>
      </c>
      <c r="C2" s="4" t="str">
        <v>WorldFish</v>
      </c>
      <c r="D2" s="4" t="str">
        <v>Solomon Islands</v>
      </c>
      <c r="E2" s="5">
        <v>20000</v>
      </c>
      <c r="F2" s="4" t="str">
        <v>Support delivery of outputs</v>
      </c>
      <c r="G2" s="4">
        <v>133</v>
      </c>
    </row>
    <row r="3" ht="50" customHeight="1">
      <c r="A3" s="4" t="str">
        <v>AOW04: Island Food Systems</v>
      </c>
      <c r="B3" s="4" t="str">
        <v>SPC- Land Resource Division</v>
      </c>
      <c r="C3" s="4" t="str">
        <v>WorldFish</v>
      </c>
      <c r="D3" s="4" t="str">
        <v>Solomon Islands, Timor-Leste</v>
      </c>
      <c r="E3" s="5">
        <v>142000</v>
      </c>
      <c r="F3" s="4" t="str">
        <v>Support delivery of outputs</v>
      </c>
      <c r="G3" s="4">
        <v>451</v>
      </c>
    </row>
    <row r="4" ht="50" customHeight="1">
      <c r="A4" s="4" t="str">
        <v>AOW04: Island Food Systems</v>
      </c>
      <c r="B4" s="4" t="str">
        <v>SINU- Center for Island Futures</v>
      </c>
      <c r="C4" s="4" t="str">
        <v>WorldFish</v>
      </c>
      <c r="D4" s="4" t="str">
        <v>Solomon Islands, Timor-Leste</v>
      </c>
      <c r="E4" s="5">
        <v>62400</v>
      </c>
      <c r="F4" s="4" t="str">
        <v>Support delivery of outputs</v>
      </c>
      <c r="G4" s="4">
        <v>452</v>
      </c>
    </row>
    <row r="5" ht="50" customHeight="1">
      <c r="A5" s="4" t="str">
        <v>AOW04: Island Food Systems</v>
      </c>
      <c r="B5" s="4" t="str">
        <v>University of Wollongong- ANCORS</v>
      </c>
      <c r="C5" s="4" t="str">
        <v>WorldFish</v>
      </c>
      <c r="D5" s="4" t="str">
        <v>Solomon Islands, Timor-Leste</v>
      </c>
      <c r="E5" s="5">
        <v>138000</v>
      </c>
      <c r="F5" s="4" t="str">
        <v>Support delivery of outputs</v>
      </c>
      <c r="G5" s="4">
        <v>453</v>
      </c>
    </row>
    <row r="6" ht="50" customHeight="1">
      <c r="A6" s="4" t="str">
        <v>AOW04: Island Food Systems</v>
      </c>
      <c r="B6" s="4" t="str">
        <v>The World Vegetable Center</v>
      </c>
      <c r="C6" s="4" t="str">
        <v>WorldFish</v>
      </c>
      <c r="D6" s="4" t="str">
        <v>Solomon Islands, Timor-Leste, Papua New Guinea</v>
      </c>
      <c r="E6" s="5">
        <v>150000</v>
      </c>
      <c r="F6" s="4" t="str">
        <v>Support delivery of outputs</v>
      </c>
      <c r="G6" s="4">
        <v>454</v>
      </c>
    </row>
    <row r="7" ht="50" customHeight="1">
      <c r="A7" s="4" t="str">
        <v>AOW04: Island Food Systems</v>
      </c>
      <c r="B7" s="4" t="str">
        <v>Pacific Community</v>
      </c>
      <c r="C7" s="4" t="str">
        <v>WorldFish</v>
      </c>
      <c r="D7" s="4" t="str">
        <v>Solomon Islands, Timor-Leste</v>
      </c>
      <c r="E7" s="5">
        <v>90000</v>
      </c>
      <c r="F7" s="4" t="str">
        <v xml:space="preserve">SPC-The Statistics for Development Division - current status is - Under Negotiation </v>
      </c>
      <c r="G7" s="4">
        <v>455</v>
      </c>
    </row>
    <row r="8" ht="25" customHeight="1">
      <c r="B8" s="9" t="str">
        <v>Contracted partners subtotal</v>
      </c>
      <c r="E8" s="9">
        <v>602400</v>
      </c>
      <c r="F8" s="9" t="str">
        <v/>
      </c>
      <c r="G8" s="9" t="str">
        <v/>
      </c>
    </row>
  </sheetData>
  <mergeCells count="2">
    <mergeCell ref="B8:D8"/>
    <mergeCell ref="A2:A8"/>
  </mergeCells>
  <ignoredErrors>
    <ignoredError numberStoredAsText="1" sqref="A1:G8"/>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WorldFish</v>
      </c>
      <c r="C2" s="4" t="str">
        <v>Area of Work Leads</v>
      </c>
      <c r="D2" s="5">
        <v>136184</v>
      </c>
      <c r="E2" s="4" t="str">
        <v>AoW4 Lead staff cost</v>
      </c>
      <c r="F2" s="4">
        <v>88</v>
      </c>
      <c r="G2" s="4">
        <v>3</v>
      </c>
    </row>
    <row r="3" ht="45" customHeight="1">
      <c r="A3" s="4" t="str">
        <v>AOW00: Cross Cutting</v>
      </c>
      <c r="B3" s="4" t="str">
        <v>WorldFish</v>
      </c>
      <c r="C3" s="4" t="str">
        <v>Operations</v>
      </c>
      <c r="D3" s="5">
        <v>46110</v>
      </c>
      <c r="E3" s="4" t="str">
        <v>AoW 4 LEAD Operational budget for travel, engagement, consultancy ect AND PNG Travel costs USD 6,110</v>
      </c>
      <c r="F3" s="4">
        <v>89</v>
      </c>
      <c r="G3" s="4">
        <v>4</v>
      </c>
    </row>
    <row r="4" ht="25" customHeight="1">
      <c r="C4" s="9" t="str">
        <v>Cross-cutting budget subtotal</v>
      </c>
      <c r="D4" s="9">
        <v>182294</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176059</v>
      </c>
      <c r="C2" s="5">
        <v>260000</v>
      </c>
      <c r="D2" s="5">
        <v>120000</v>
      </c>
      <c r="E2" s="5">
        <v>0</v>
      </c>
      <c r="F2" s="5">
        <v>960237</v>
      </c>
      <c r="G2" s="5">
        <f>=SUM(B2:F2)</f>
        <v>0</v>
      </c>
    </row>
    <row r="3" ht="20" customHeight="1">
      <c r="A3" s="4" t="str">
        <v>Operations (supplies, consultants, travels, workshops, other)</v>
      </c>
      <c r="B3" s="5">
        <v>6235</v>
      </c>
      <c r="C3" s="5">
        <v>80000</v>
      </c>
      <c r="D3" s="5">
        <v>30000</v>
      </c>
      <c r="E3" s="5">
        <v>0</v>
      </c>
      <c r="F3" s="5">
        <v>325757</v>
      </c>
      <c r="G3" s="5">
        <f>=SUM(B3:F3)</f>
        <v>0</v>
      </c>
    </row>
    <row r="4" ht="20" customHeight="1">
      <c r="A4" s="4" t="str">
        <v>Collaborators non-CGIAR centers</v>
      </c>
      <c r="B4" s="5">
        <v>0</v>
      </c>
      <c r="C4" s="5">
        <v>0</v>
      </c>
      <c r="D4" s="5">
        <v>0</v>
      </c>
      <c r="E4" s="5">
        <v>0</v>
      </c>
      <c r="F4" s="5">
        <v>602400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3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WorldFish</v>
      </c>
      <c r="C2" s="4" t="str">
        <v>Solomon Islands</v>
      </c>
      <c r="D2" s="5">
        <v>100</v>
      </c>
      <c r="E2" s="4">
        <v>3368</v>
      </c>
    </row>
    <row r="3" ht="45" customHeight="1">
      <c r="A3" s="8" t="str">
        <v>AOW01: Future Food Systems Lab</v>
      </c>
      <c r="B3" s="4" t="str">
        <v>WorldFish</v>
      </c>
      <c r="C3" s="4" t="str">
        <v>Bangladesh</v>
      </c>
      <c r="D3" s="5">
        <v>5</v>
      </c>
      <c r="E3" s="4">
        <v>843</v>
      </c>
    </row>
    <row r="4" ht="45" customHeight="1">
      <c r="A4" s="4" t="str">
        <v>AOW01: Future Food Systems Lab</v>
      </c>
      <c r="B4" s="4" t="str">
        <v>WorldFish</v>
      </c>
      <c r="C4" s="4" t="str">
        <v>Burkina Faso</v>
      </c>
      <c r="D4" s="5">
        <v>5</v>
      </c>
      <c r="E4" s="4">
        <v>844</v>
      </c>
    </row>
    <row r="5" ht="45" customHeight="1">
      <c r="A5" s="4" t="str">
        <v>AOW01: Future Food Systems Lab</v>
      </c>
      <c r="B5" s="4" t="str">
        <v>WorldFish</v>
      </c>
      <c r="C5" s="4" t="str">
        <v>Ethiopia</v>
      </c>
      <c r="D5" s="5">
        <v>5</v>
      </c>
      <c r="E5" s="4">
        <v>845</v>
      </c>
    </row>
    <row r="6" ht="45" customHeight="1">
      <c r="A6" s="4" t="str">
        <v>AOW01: Future Food Systems Lab</v>
      </c>
      <c r="B6" s="4" t="str">
        <v>WorldFish</v>
      </c>
      <c r="C6" s="4" t="str">
        <v>Ghana</v>
      </c>
      <c r="D6" s="5">
        <v>5</v>
      </c>
      <c r="E6" s="4">
        <v>846</v>
      </c>
    </row>
    <row r="7" ht="45" customHeight="1">
      <c r="A7" s="4" t="str">
        <v>AOW01: Future Food Systems Lab</v>
      </c>
      <c r="B7" s="4" t="str">
        <v>WorldFish</v>
      </c>
      <c r="C7" s="4" t="str">
        <v>Jamaica</v>
      </c>
      <c r="D7" s="5">
        <v>5</v>
      </c>
      <c r="E7" s="4">
        <v>847</v>
      </c>
    </row>
    <row r="8" ht="45" customHeight="1">
      <c r="A8" s="4" t="str">
        <v>AOW01: Future Food Systems Lab</v>
      </c>
      <c r="B8" s="4" t="str">
        <v>WorldFish</v>
      </c>
      <c r="C8" s="4" t="str">
        <v>Jordan</v>
      </c>
      <c r="D8" s="5">
        <v>5</v>
      </c>
      <c r="E8" s="4">
        <v>848</v>
      </c>
    </row>
    <row r="9" ht="45" customHeight="1">
      <c r="A9" s="4" t="str">
        <v>AOW01: Future Food Systems Lab</v>
      </c>
      <c r="B9" s="4" t="str">
        <v>WorldFish</v>
      </c>
      <c r="C9" s="4" t="str">
        <v>Kenya</v>
      </c>
      <c r="D9" s="5">
        <v>5</v>
      </c>
      <c r="E9" s="4">
        <v>849</v>
      </c>
    </row>
    <row r="10" ht="45" customHeight="1">
      <c r="A10" s="4" t="str">
        <v>AOW01: Future Food Systems Lab</v>
      </c>
      <c r="B10" s="4" t="str">
        <v>WorldFish</v>
      </c>
      <c r="C10" s="4" t="str">
        <v>Mali</v>
      </c>
      <c r="D10" s="5">
        <v>5</v>
      </c>
      <c r="E10" s="4">
        <v>850</v>
      </c>
    </row>
    <row r="11" ht="45" customHeight="1">
      <c r="A11" s="4" t="str">
        <v>AOW01: Future Food Systems Lab</v>
      </c>
      <c r="B11" s="4" t="str">
        <v>WorldFish</v>
      </c>
      <c r="C11" s="4" t="str">
        <v>Mozambique</v>
      </c>
      <c r="D11" s="5">
        <v>5</v>
      </c>
      <c r="E11" s="4">
        <v>851</v>
      </c>
    </row>
    <row r="12" ht="45" customHeight="1">
      <c r="A12" s="4" t="str">
        <v>AOW01: Future Food Systems Lab</v>
      </c>
      <c r="B12" s="4" t="str">
        <v>WorldFish</v>
      </c>
      <c r="C12" s="4" t="str">
        <v>Nigeria</v>
      </c>
      <c r="D12" s="5">
        <v>5</v>
      </c>
      <c r="E12" s="4">
        <v>14</v>
      </c>
    </row>
    <row r="13" ht="45" customHeight="1">
      <c r="A13" s="4" t="str">
        <v>AOW01: Future Food Systems Lab</v>
      </c>
      <c r="B13" s="4" t="str">
        <v>WorldFish</v>
      </c>
      <c r="C13" s="4" t="str">
        <v>Pakistan</v>
      </c>
      <c r="D13" s="5">
        <v>5</v>
      </c>
      <c r="E13" s="4">
        <v>852</v>
      </c>
    </row>
    <row r="14" ht="45" customHeight="1">
      <c r="A14" s="4" t="str">
        <v>AOW01: Future Food Systems Lab</v>
      </c>
      <c r="B14" s="4" t="str">
        <v>WorldFish</v>
      </c>
      <c r="C14" s="4" t="str">
        <v>Papua New Guinea</v>
      </c>
      <c r="D14" s="5">
        <v>5</v>
      </c>
      <c r="E14" s="4">
        <v>853</v>
      </c>
    </row>
    <row r="15" ht="45" customHeight="1">
      <c r="A15" s="4" t="str">
        <v>AOW01: Future Food Systems Lab</v>
      </c>
      <c r="B15" s="4" t="str">
        <v>WorldFish</v>
      </c>
      <c r="C15" s="4" t="str">
        <v>Peru</v>
      </c>
      <c r="D15" s="5">
        <v>5</v>
      </c>
      <c r="E15" s="4">
        <v>854</v>
      </c>
    </row>
    <row r="16" ht="45" customHeight="1">
      <c r="A16" s="4" t="str">
        <v>AOW01: Future Food Systems Lab</v>
      </c>
      <c r="B16" s="4" t="str">
        <v>WorldFish</v>
      </c>
      <c r="C16" s="4" t="str">
        <v>Philippines</v>
      </c>
      <c r="D16" s="5">
        <v>5</v>
      </c>
      <c r="E16" s="4">
        <v>855</v>
      </c>
    </row>
    <row r="17" ht="45" customHeight="1">
      <c r="A17" s="4" t="str">
        <v>AOW01: Future Food Systems Lab</v>
      </c>
      <c r="B17" s="4" t="str">
        <v>WorldFish</v>
      </c>
      <c r="C17" s="4" t="str">
        <v>Solomon Islands</v>
      </c>
      <c r="D17" s="5">
        <v>10</v>
      </c>
      <c r="E17" s="4">
        <v>856</v>
      </c>
    </row>
    <row r="18" ht="45" customHeight="1">
      <c r="A18" s="4" t="str">
        <v>AOW01: Future Food Systems Lab</v>
      </c>
      <c r="B18" s="4" t="str">
        <v>WorldFish</v>
      </c>
      <c r="C18" s="4" t="str">
        <v>Somalia</v>
      </c>
      <c r="D18" s="5">
        <v>5</v>
      </c>
      <c r="E18" s="4">
        <v>857</v>
      </c>
    </row>
    <row r="19" ht="45" customHeight="1">
      <c r="A19" s="4" t="str">
        <v>AOW01: Future Food Systems Lab</v>
      </c>
      <c r="B19" s="4" t="str">
        <v>WorldFish</v>
      </c>
      <c r="C19" s="4" t="str">
        <v>The Republic of the Sudan</v>
      </c>
      <c r="D19" s="5">
        <v>5</v>
      </c>
      <c r="E19" s="4">
        <v>858</v>
      </c>
    </row>
    <row r="20" ht="45" customHeight="1">
      <c r="A20" s="4" t="str">
        <v>AOW01: Future Food Systems Lab</v>
      </c>
      <c r="B20" s="4" t="str">
        <v>WorldFish</v>
      </c>
      <c r="C20" s="4" t="str">
        <v>Timor-Leste</v>
      </c>
      <c r="D20" s="5">
        <v>5</v>
      </c>
      <c r="E20" s="4">
        <v>859</v>
      </c>
    </row>
    <row r="21" ht="45" customHeight="1">
      <c r="A21" s="4" t="str">
        <v>AOW01: Future Food Systems Lab</v>
      </c>
      <c r="B21" s="4" t="str">
        <v>WorldFish</v>
      </c>
      <c r="C21" s="4" t="str">
        <v>Yemen</v>
      </c>
      <c r="D21" s="5">
        <v>5</v>
      </c>
      <c r="E21" s="4">
        <v>860</v>
      </c>
    </row>
    <row r="22" ht="45" customHeight="1">
      <c r="A22" s="8" t="str">
        <v>AOW02: Fragile and Conflict-affected Food Systems</v>
      </c>
      <c r="B22" s="4" t="str">
        <v>WorldFish</v>
      </c>
      <c r="C22" s="4" t="str">
        <v>Ethiopia</v>
      </c>
      <c r="D22" s="5">
        <v>25</v>
      </c>
      <c r="E22" s="4">
        <v>1170</v>
      </c>
    </row>
    <row r="23" ht="45" customHeight="1">
      <c r="A23" s="4" t="str">
        <v>AOW02: Fragile and Conflict-affected Food Systems</v>
      </c>
      <c r="B23" s="4" t="str">
        <v>WorldFish</v>
      </c>
      <c r="C23" s="4" t="str">
        <v>Ghana</v>
      </c>
      <c r="D23" s="5">
        <v>25</v>
      </c>
      <c r="E23" s="4">
        <v>1169</v>
      </c>
    </row>
    <row r="24" ht="45" customHeight="1">
      <c r="A24" s="4" t="str">
        <v>AOW02: Fragile and Conflict-affected Food Systems</v>
      </c>
      <c r="B24" s="4" t="str">
        <v>WorldFish</v>
      </c>
      <c r="C24" s="4" t="str">
        <v>Kenya</v>
      </c>
      <c r="D24" s="5">
        <v>25</v>
      </c>
      <c r="E24" s="4">
        <v>1168</v>
      </c>
    </row>
    <row r="25" ht="45" customHeight="1">
      <c r="A25" s="4" t="str">
        <v>AOW02: Fragile and Conflict-affected Food Systems</v>
      </c>
      <c r="B25" s="4" t="str">
        <v>WorldFish</v>
      </c>
      <c r="C25" s="4" t="str">
        <v>State of Palestine</v>
      </c>
      <c r="D25" s="5">
        <v>25</v>
      </c>
      <c r="E25" s="4">
        <v>1166</v>
      </c>
    </row>
    <row r="26" ht="45" customHeight="1">
      <c r="A26" s="8" t="str">
        <v>AOW04: Island Food Systems</v>
      </c>
      <c r="B26" s="4" t="str">
        <v>WorldFish</v>
      </c>
      <c r="C26" s="4" t="str">
        <v>Fiji</v>
      </c>
      <c r="D26" s="5">
        <v>5</v>
      </c>
      <c r="E26" s="4">
        <v>2620</v>
      </c>
    </row>
    <row r="27" ht="45" customHeight="1">
      <c r="A27" s="4" t="str">
        <v>AOW04: Island Food Systems</v>
      </c>
      <c r="B27" s="4" t="str">
        <v>WorldFish</v>
      </c>
      <c r="C27" s="4" t="str">
        <v>Jamaica</v>
      </c>
      <c r="D27" s="5">
        <v>2</v>
      </c>
      <c r="E27" s="4">
        <v>2625</v>
      </c>
    </row>
    <row r="28" ht="45" customHeight="1">
      <c r="A28" s="4" t="str">
        <v>AOW04: Island Food Systems</v>
      </c>
      <c r="B28" s="4" t="str">
        <v>WorldFish</v>
      </c>
      <c r="C28" s="4" t="str">
        <v>New Caledonia</v>
      </c>
      <c r="D28" s="5">
        <v>2</v>
      </c>
      <c r="E28" s="4">
        <v>2624</v>
      </c>
    </row>
    <row r="29" ht="45" customHeight="1">
      <c r="A29" s="4" t="str">
        <v>AOW04: Island Food Systems</v>
      </c>
      <c r="B29" s="4" t="str">
        <v>WorldFish</v>
      </c>
      <c r="C29" s="4" t="str">
        <v>Papua New Guinea</v>
      </c>
      <c r="D29" s="5">
        <v>8</v>
      </c>
      <c r="E29" s="4">
        <v>2623</v>
      </c>
    </row>
    <row r="30" ht="45" customHeight="1">
      <c r="A30" s="4" t="str">
        <v>AOW04: Island Food Systems</v>
      </c>
      <c r="B30" s="4" t="str">
        <v>WorldFish</v>
      </c>
      <c r="C30" s="4" t="str">
        <v>Solomon Islands</v>
      </c>
      <c r="D30" s="5">
        <v>49</v>
      </c>
      <c r="E30" s="4">
        <v>2621</v>
      </c>
    </row>
    <row r="31" ht="45" customHeight="1">
      <c r="A31" s="4" t="str">
        <v>AOW04: Island Food Systems</v>
      </c>
      <c r="B31" s="4" t="str">
        <v>WorldFish</v>
      </c>
      <c r="C31" s="4" t="str">
        <v>Timor-Leste</v>
      </c>
      <c r="D31" s="5">
        <v>34</v>
      </c>
      <c r="E31" s="4">
        <v>2622</v>
      </c>
    </row>
  </sheetData>
  <mergeCells count="4">
    <mergeCell ref="A2"/>
    <mergeCell ref="A3:A21"/>
    <mergeCell ref="A22:A25"/>
    <mergeCell ref="A26:A31"/>
  </mergeCells>
  <ignoredErrors>
    <ignoredError numberStoredAsText="1" sqref="A1:E31"/>
  </ignoredErrors>
</worksheet>
</file>

<file path=xl/worksheets/sheet9.xml><?xml version="1.0" encoding="utf-8"?>
<worksheet xmlns="http://schemas.openxmlformats.org/spreadsheetml/2006/main" xmlns:r="http://schemas.openxmlformats.org/officeDocument/2006/relationships">
  <dimension ref="A1:F6"/>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WorldFish</v>
      </c>
      <c r="C2" s="4" t="str">
        <v>Global</v>
      </c>
      <c r="D2" s="4" t="str">
        <v>global</v>
      </c>
      <c r="E2" s="5">
        <v>100</v>
      </c>
      <c r="F2" s="4">
        <v>287</v>
      </c>
    </row>
    <row r="3" ht="45" customHeight="1">
      <c r="A3" s="8" t="str">
        <v>AOW01: Future Food Systems Lab</v>
      </c>
      <c r="B3" s="4" t="str">
        <v>WorldFish</v>
      </c>
      <c r="C3" s="4" t="str">
        <v>Global</v>
      </c>
      <c r="D3" s="4" t="str">
        <v>global</v>
      </c>
      <c r="E3" s="5">
        <v>100</v>
      </c>
      <c r="F3" s="4">
        <v>6</v>
      </c>
    </row>
    <row r="4" ht="45" customHeight="1">
      <c r="A4" s="8" t="str">
        <v>AOW02: Fragile and Conflict-affected Food Systems</v>
      </c>
      <c r="B4" s="4" t="str">
        <v>WorldFish</v>
      </c>
      <c r="C4" s="4" t="str">
        <v>Global</v>
      </c>
      <c r="D4" s="4" t="str">
        <v>global</v>
      </c>
      <c r="E4" s="5">
        <v>100</v>
      </c>
      <c r="F4" s="4">
        <v>399</v>
      </c>
    </row>
    <row r="5" ht="45" customHeight="1">
      <c r="A5" s="8" t="str">
        <v>AOW04: Island Food Systems</v>
      </c>
      <c r="B5" s="4" t="str">
        <v>WorldFish</v>
      </c>
      <c r="C5" s="4" t="str">
        <v>Global</v>
      </c>
      <c r="D5" s="4" t="str">
        <v>global</v>
      </c>
      <c r="E5" s="5">
        <v>0</v>
      </c>
      <c r="F5" s="4">
        <v>283</v>
      </c>
    </row>
    <row r="6" ht="45" customHeight="1">
      <c r="A6" s="4" t="str">
        <v>AOW04: Island Food Systems</v>
      </c>
      <c r="B6" s="4" t="str">
        <v>WorldFish</v>
      </c>
      <c r="C6" s="4" t="str">
        <v>Oceania</v>
      </c>
      <c r="D6" s="4" t="str">
        <v>region</v>
      </c>
      <c r="E6" s="5">
        <v>100</v>
      </c>
      <c r="F6" s="4">
        <v>925</v>
      </c>
    </row>
  </sheetData>
  <mergeCells count="4">
    <mergeCell ref="A2"/>
    <mergeCell ref="A3"/>
    <mergeCell ref="A4"/>
    <mergeCell ref="A5:A6"/>
  </mergeCells>
  <ignoredErrors>
    <ignoredError numberStoredAsText="1" sqref="A1:F6"/>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